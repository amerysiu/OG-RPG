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arning Map" sheetId="2" state="visible" r:id="rId4"/>
    <sheet name="Game Modes" sheetId="3" state="visible" r:id="rId5"/>
    <sheet name="Level Redesign" sheetId="4" state="visible" r:id="rId6"/>
    <sheet name="Difficulty System" sheetId="5" state="visible" r:id="rId7"/>
    <sheet name="Current Game Audit" sheetId="6" state="visible" r:id="rId8"/>
    <sheet name="Sources" sheetId="7" state="visible" r:id="rId9"/>
  </sheets>
  <definedNames>
    <definedName function="false" hidden="true" localSheetId="1" name="_xlnm._FilterDatabase" vbProcedure="false">'Learning Map'!$A$4:$M$46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<sst xmlns="http://schemas.openxmlformats.org/spreadsheetml/2006/main" count="1155" uniqueCount="871">
  <si>
    <t xml:space="preserve">OG English Learning — learning map &amp; level rethink</t>
  </si>
  <si>
    <t xml:space="preserve">Prepared 18 Oct 2026 for the Godot project og-english-learning. Executive summary first; details on the following tabs.</t>
  </si>
  <si>
    <t xml:space="preserve">Executive summary</t>
  </si>
  <si>
    <t xml:space="preserve">Learning path: OG teaches in 4 layers — sounds (oral) → letters/phonemes → syllables → morphemes — mapped here as 40 stages in 6 bands plus 2 strands (heart words, fluency).</t>
  </si>
  <si>
    <t xml:space="preserve">Biggest gaps today: no oral sound stage; the game jumps from blends straight to prefixes, skipping the whole vowel-pattern band (magic e, open syllables, vowel teams, r-controlled — 7 stages) and most of syllable division.</t>
  </si>
  <si>
    <t xml:space="preserve">Content bugs: 3 words spell wrongly (drift, sweep, crown); level numbers collide so Zone 2 can ask for single letters. Fix these first.</t>
  </si>
  <si>
    <t xml:space="preserve">Proposed world: 8 zones (Echo Meadow → Root Ruins), each opened by a boss + ≥80% mastery, not by XP.</t>
  </si>
  <si>
    <t xml:space="preserve">Difficulty: keep the stage's content fixed; Easy / Normal / Hard only changes scaffolds (audio, distractors, tries, hints). No timers that can fail a child.</t>
  </si>
  <si>
    <t xml:space="preserve">Attacks: Wand = listening, Light = review of the last mastered stage, Heavy = spell the new pattern (2 dmg).</t>
  </si>
  <si>
    <t xml:space="preserve">Next build step: give every word a stage_id, then add Dictation Scroll (suggested by 14 stages — the most of any new mode) and Elkonin Boxes (core OG segmenting).</t>
  </si>
  <si>
    <t xml:space="preserve">Coverage of the learning map in the current build</t>
  </si>
  <si>
    <t xml:space="preserve">Band</t>
  </si>
  <si>
    <t xml:space="preserve">Stages</t>
  </si>
  <si>
    <t xml:space="preserve">Yes</t>
  </si>
  <si>
    <t xml:space="preserve">Partial</t>
  </si>
  <si>
    <t xml:space="preserve">No</t>
  </si>
  <si>
    <t xml:space="preserve">A · Sounds (oral)</t>
  </si>
  <si>
    <t xml:space="preserve">B · Letters &amp; sounds</t>
  </si>
  <si>
    <t xml:space="preserve">C · Closed syllables</t>
  </si>
  <si>
    <t xml:space="preserve">D · Vowel patterns</t>
  </si>
  <si>
    <t xml:space="preserve">E · Multisyllable</t>
  </si>
  <si>
    <t xml:space="preserve">F · Morphemes</t>
  </si>
  <si>
    <t xml:space="preserve">H · Heart words (all zones)</t>
  </si>
  <si>
    <t xml:space="preserve">R · Fluency (all zones)</t>
  </si>
  <si>
    <t xml:space="preserve">Total</t>
  </si>
  <si>
    <t xml:space="preserve">Share of stages with any coverage (Yes + Partial)</t>
  </si>
  <si>
    <t xml:space="preserve">Share of stages fully built (Yes)</t>
  </si>
  <si>
    <t xml:space="preserve">Tabs in this workbook</t>
  </si>
  <si>
    <t xml:space="preserve">Learning Map</t>
  </si>
  <si>
    <t xml:space="preserve">40+2 OG stages in teaching order, each with Easy / Normal / Hard play suggestions and current-build status (edit column M as you build).</t>
  </si>
  <si>
    <t xml:space="preserve">Game Modes</t>
  </si>
  <si>
    <t xml:space="preserve">22 mini-game modes: skill, senses, difficulty tiers, attack fit, build effort, # of stages that use it.</t>
  </si>
  <si>
    <t xml:space="preserve">Level Redesign</t>
  </si>
  <si>
    <t xml:space="preserve">8-zone world, bosses, mastery gates, village buildings, and what changes vs today.</t>
  </si>
  <si>
    <t xml:space="preserve">Difficulty System</t>
  </si>
  <si>
    <t xml:space="preserve">Easy/Normal/Hard levers, attack → mode mapping, and an adaptive tier calculator.</t>
  </si>
  <si>
    <t xml:space="preserve">Current Game Audit</t>
  </si>
  <si>
    <t xml:space="preserve">14 findings from the code (og_words.gd, zone_catalog.gd, battle_screen.gd ...) with fixes.</t>
  </si>
  <si>
    <t xml:space="preserve">Sources</t>
  </si>
  <si>
    <t xml:space="preserve">Research references.</t>
  </si>
  <si>
    <t xml:space="preserve">OG Learning Map — sounds → phonemes → syllables → morphemes</t>
  </si>
  <si>
    <t xml:space="preserve">One row per stage, in teaching order. Each stage suggests three ways to play (Easy / Normal / Hard). Colour = band.</t>
  </si>
  <si>
    <t xml:space="preserve">ID</t>
  </si>
  <si>
    <t xml:space="preserve">Stage</t>
  </si>
  <si>
    <t xml:space="preserve">OG skill focus</t>
  </si>
  <si>
    <t xml:space="preserve">Patterns / rules taught</t>
  </si>
  <si>
    <t xml:space="preserve">Example words</t>
  </si>
  <si>
    <t xml:space="preserve">Heart words (irregular) introduced</t>
  </si>
  <si>
    <t xml:space="preserve">Mastery check (to unlock next)</t>
  </si>
  <si>
    <t xml:space="preserve">EASY — how to play</t>
  </si>
  <si>
    <t xml:space="preserve">NORMAL — how to play</t>
  </si>
  <si>
    <t xml:space="preserve">HARD — how to play</t>
  </si>
  <si>
    <t xml:space="preserve">Proposed zone</t>
  </si>
  <si>
    <t xml:space="preserve">In current build?</t>
  </si>
  <si>
    <t xml:space="preserve">A1</t>
  </si>
  <si>
    <t xml:space="preserve">Word &amp; rhyme awareness</t>
  </si>
  <si>
    <t xml:space="preserve">Hear that speech is made of words; notice rhyme</t>
  </si>
  <si>
    <t xml:space="preserve">Count words in a spoken sentence; rhyme / no-rhyme</t>
  </si>
  <si>
    <t xml:space="preserve">cat–hat, sun–fun, "The dog ran" = 3 words</t>
  </si>
  <si>
    <t xml:space="preserve">—</t>
  </si>
  <si>
    <t xml:space="preserve">≥80% on 10 oral items, 2 separate days</t>
  </si>
  <si>
    <t xml:space="preserve">Rhyme Hunt: hear 2 words, tap ✓ if they rhyme. Pictures shown, unlimited replay.</t>
  </si>
  <si>
    <t xml:space="preserve">Rhyme Hunt: hear a word, pick the rhyming picture from 3.</t>
  </si>
  <si>
    <t xml:space="preserve">Rhyme Hunt: odd-one-out from 4 spoken words, no pictures.</t>
  </si>
  <si>
    <t xml:space="preserve">0 Echo Meadow</t>
  </si>
  <si>
    <t xml:space="preserve">A2</t>
  </si>
  <si>
    <t xml:space="preserve">Syllable awareness</t>
  </si>
  <si>
    <t xml:space="preserve">Count, blend and delete spoken syllables</t>
  </si>
  <si>
    <t xml:space="preserve">Compound words first, then 2–3 syllable words</t>
  </si>
  <si>
    <t xml:space="preserve">sun·set, rab·bit, el·e·phant</t>
  </si>
  <si>
    <t xml:space="preserve">Syllable Drum: hit the drum once per syllable with a beat guide.</t>
  </si>
  <si>
    <t xml:space="preserve">Syllable Drum: no beat guide; 2–3 syllable words.</t>
  </si>
  <si>
    <t xml:space="preserve">Syllable Drum: delete a part — "say sunset without sun", pick the picture.</t>
  </si>
  <si>
    <t xml:space="preserve">A3</t>
  </si>
  <si>
    <t xml:space="preserve">Onset &amp; rime</t>
  </si>
  <si>
    <t xml:space="preserve">Split and blend onset + rime; word families</t>
  </si>
  <si>
    <t xml:space="preserve">Families -at -ig -op -un</t>
  </si>
  <si>
    <t xml:space="preserve">b + at = bat, s + it = sit</t>
  </si>
  <si>
    <t xml:space="preserve">Onset Forge: drag a sound onto the rime anvil, hear the new word.</t>
  </si>
  <si>
    <t xml:space="preserve">Onset Forge: 3 onsets, choose the one that makes the pictured word.</t>
  </si>
  <si>
    <t xml:space="preserve">Onset Forge: swap the rime instead (bat → bun) to match a picture.</t>
  </si>
  <si>
    <t xml:space="preserve">A4</t>
  </si>
  <si>
    <t xml:space="preserve">Phoneme isolation</t>
  </si>
  <si>
    <t xml:space="preserve">Name first, then last, then middle sound</t>
  </si>
  <si>
    <t xml:space="preserve">Initial → final → medial (vowel) sound</t>
  </si>
  <si>
    <t xml:space="preserve">/m/ in map, /t/ in cat, /a/ in cat</t>
  </si>
  <si>
    <t xml:space="preserve">Echo Shield: which picture STARTS with /m/? 2 choices.</t>
  </si>
  <si>
    <t xml:space="preserve">Echo Shield: final sound, 3 choices.</t>
  </si>
  <si>
    <t xml:space="preserve">Echo Shield: middle vowel sound, 4 choices.</t>
  </si>
  <si>
    <t xml:space="preserve">A5</t>
  </si>
  <si>
    <t xml:space="preserve">Phoneme blending</t>
  </si>
  <si>
    <t xml:space="preserve">Blend 2–4 spoken sounds into a word</t>
  </si>
  <si>
    <t xml:space="preserve">Continuous sounds first (m-a-n), then stop sounds</t>
  </si>
  <si>
    <t xml:space="preserve">/s/ /a/ /t/ → sat</t>
  </si>
  <si>
    <t xml:space="preserve">Sound Slide: sounds are stretched and connected; pick picture from 2.</t>
  </si>
  <si>
    <t xml:space="preserve">Sound Slide: sounds separated; pick from 3.</t>
  </si>
  <si>
    <t xml:space="preserve">Sound Slide: 4-sound words with blends (/f/ /r/ /o/ /g/); pick from 4.</t>
  </si>
  <si>
    <t xml:space="preserve">A6</t>
  </si>
  <si>
    <t xml:space="preserve">Phoneme segmentation</t>
  </si>
  <si>
    <t xml:space="preserve">Break a spoken word into each sound</t>
  </si>
  <si>
    <t xml:space="preserve">2 → 3 → 4 phonemes</t>
  </si>
  <si>
    <t xml:space="preserve">sat = /s/ /a/ /t/</t>
  </si>
  <si>
    <t xml:space="preserve">Elkonin Boxes (oral): push one token into a box per sound; box count shown.</t>
  </si>
  <si>
    <t xml:space="preserve">Elkonin Boxes: box count hidden — player adds the boxes.</t>
  </si>
  <si>
    <t xml:space="preserve">Elkonin Boxes: 4-sound words with blends.</t>
  </si>
  <si>
    <t xml:space="preserve">A7</t>
  </si>
  <si>
    <t xml:space="preserve">Phoneme manipulation</t>
  </si>
  <si>
    <t xml:space="preserve">Add, delete, substitute sounds</t>
  </si>
  <si>
    <t xml:space="preserve">Delete initial; substitute final; substitute medial</t>
  </si>
  <si>
    <t xml:space="preserve">mat → at, cat → cut, stop → top</t>
  </si>
  <si>
    <t xml:space="preserve">Word Chain (oral): swap the FIRST sound, pick new picture from 2.</t>
  </si>
  <si>
    <t xml:space="preserve">Word Chain: swap the LAST sound, 3 choices.</t>
  </si>
  <si>
    <t xml:space="preserve">Word Chain: swap the vowel, or delete a sound inside a blend.</t>
  </si>
  <si>
    <t xml:space="preserve">B1</t>
  </si>
  <si>
    <t xml:space="preserve">Continuous consonants + short a</t>
  </si>
  <si>
    <t xml:space="preserve">Letter ↔ sound with keyword picture</t>
  </si>
  <si>
    <t xml:space="preserve">m s f l n r + short a (apple)</t>
  </si>
  <si>
    <t xml:space="preserve">am, an, man, ran, fan</t>
  </si>
  <si>
    <t xml:space="preserve">a, I, the</t>
  </si>
  <si>
    <t xml:space="preserve">≥90% sound↔letter on 10 cards, 2 days</t>
  </si>
  <si>
    <t xml:space="preserve">Letter Trace: trace a giant letter while its sound plays (sky-writing), then tap it.</t>
  </si>
  <si>
    <t xml:space="preserve">Echo Shield: hear a sound, pick the letter from 3.</t>
  </si>
  <si>
    <t xml:space="preserve">Echo Shield: 5 letters including confusables; or see letter → pick sound clip.</t>
  </si>
  <si>
    <t xml:space="preserve">1 Phoneme Village</t>
  </si>
  <si>
    <t xml:space="preserve">B2</t>
  </si>
  <si>
    <t xml:space="preserve">Stop consonants</t>
  </si>
  <si>
    <t xml:space="preserve">Short, clipped sounds without added "uh"</t>
  </si>
  <si>
    <t xml:space="preserve">t p b d c g h</t>
  </si>
  <si>
    <t xml:space="preserve">tap, bat, dad, cab, hat</t>
  </si>
  <si>
    <t xml:space="preserve">is, his</t>
  </si>
  <si>
    <t xml:space="preserve">Letter Trace: mouth-picture cue shows lips/tongue for each sound.</t>
  </si>
  <si>
    <t xml:space="preserve">Echo Shield: 3 letters.</t>
  </si>
  <si>
    <t xml:space="preserve">Echo Shield: 5 letters; reverse mode (see letter → pick sound).</t>
  </si>
  <si>
    <t xml:space="preserve">B3</t>
  </si>
  <si>
    <t xml:space="preserve">Short i and o</t>
  </si>
  <si>
    <t xml:space="preserve">Short vowels in the middle of CVC</t>
  </si>
  <si>
    <t xml:space="preserve">i (itch), o (octopus)</t>
  </si>
  <si>
    <t xml:space="preserve">sit, pin, hot, dog</t>
  </si>
  <si>
    <t xml:space="preserve">of, to</t>
  </si>
  <si>
    <t xml:space="preserve">≥80% read AND spell, 2 separate days</t>
  </si>
  <si>
    <t xml:space="preserve">Vowel Pick: only the vowel slot is empty; 2 vowel choices.</t>
  </si>
  <si>
    <t xml:space="preserve">Vowel Pick: 3 vowel choices.</t>
  </si>
  <si>
    <t xml:space="preserve">Vowel Pick: all 5 vowels, no picture.</t>
  </si>
  <si>
    <t xml:space="preserve">B4</t>
  </si>
  <si>
    <t xml:space="preserve">Short u and e</t>
  </si>
  <si>
    <t xml:space="preserve">Hardest vowel contrast for dyslexic learners (e/i)</t>
  </si>
  <si>
    <t xml:space="preserve">u (up), e (Ed); contrast e vs i</t>
  </si>
  <si>
    <t xml:space="preserve">sun, cup, bed, net</t>
  </si>
  <si>
    <t xml:space="preserve">do, you</t>
  </si>
  <si>
    <t xml:space="preserve">Vowel Pick: 2 choices, mouth-shape cue.</t>
  </si>
  <si>
    <t xml:space="preserve">Twin Caves: sort spoken words into the /e/ cave or the /i/ cave.</t>
  </si>
  <si>
    <t xml:space="preserve">Vowel Pick: 5 vowels, no picture, nonsense CVCs.</t>
  </si>
  <si>
    <t xml:space="preserve">B5</t>
  </si>
  <si>
    <t xml:space="preserve">Remaining consonants</t>
  </si>
  <si>
    <t xml:space="preserve">Complete the alphabet</t>
  </si>
  <si>
    <t xml:space="preserve">j k v w x y z qu (qu = 2 letters, 1 unit)</t>
  </si>
  <si>
    <t xml:space="preserve">jam, kit, van, web, box, yes, zip, quit</t>
  </si>
  <si>
    <t xml:space="preserve">said, was</t>
  </si>
  <si>
    <t xml:space="preserve">≥90% sound↔letter, 2 days</t>
  </si>
  <si>
    <t xml:space="preserve">Letter Trace for each new letter.</t>
  </si>
  <si>
    <t xml:space="preserve">Echo Shield: 4 letters.</t>
  </si>
  <si>
    <t xml:space="preserve">Echo Shield: full alphabet speed review (untimed by default).</t>
  </si>
  <si>
    <t xml:space="preserve">B6</t>
  </si>
  <si>
    <t xml:space="preserve">Reversal guard b d p q</t>
  </si>
  <si>
    <t xml:space="preserve">Visual discrimination with mouth + anchor cues</t>
  </si>
  <si>
    <t xml:space="preserve">b (bat-then-ball), d (door), p, q</t>
  </si>
  <si>
    <t xml:space="preserve">bad, dab, pod, bud</t>
  </si>
  <si>
    <t xml:space="preserve">≥90% on 20 mixed items</t>
  </si>
  <si>
    <t xml:space="preserve">Twin Caves: sort b vs d letters into two caves; anchor pictures shown.</t>
  </si>
  <si>
    <t xml:space="preserve">Twin Caves: pick the letter that completes the pictured word.</t>
  </si>
  <si>
    <t xml:space="preserve">Word Build: b/d/p/q all present as distractors.</t>
  </si>
  <si>
    <t xml:space="preserve">C1</t>
  </si>
  <si>
    <t xml:space="preserve">VC &amp; CVC (closed syllable)</t>
  </si>
  <si>
    <t xml:space="preserve">One vowel closed in by a consonant = short sound</t>
  </si>
  <si>
    <t xml:space="preserve">Closed syllable type; tap-and-blend</t>
  </si>
  <si>
    <t xml:space="preserve">at, in, up; cat, sun, pig</t>
  </si>
  <si>
    <t xml:space="preserve">the, a, is, his, of</t>
  </si>
  <si>
    <t xml:space="preserve">Word Build: 3 tiles only, each tile speaks when tapped.</t>
  </si>
  <si>
    <t xml:space="preserve">Word Build: +3 confusable distractors (b/d, e/i).</t>
  </si>
  <si>
    <t xml:space="preserve">Dictation Scroll: hear the word, type it with no tiles.</t>
  </si>
  <si>
    <t xml:space="preserve">2 Closed-Syllable Woods</t>
  </si>
  <si>
    <t xml:space="preserve">C2</t>
  </si>
  <si>
    <t xml:space="preserve">Consonant digraphs</t>
  </si>
  <si>
    <t xml:space="preserve">Two letters, ONE sound</t>
  </si>
  <si>
    <t xml:space="preserve">sh ch th (both sounds) wh ck (ck right after a short vowel)</t>
  </si>
  <si>
    <t xml:space="preserve">ship, chin, moth, then, when, duck</t>
  </si>
  <si>
    <t xml:space="preserve">who, what, where</t>
  </si>
  <si>
    <t xml:space="preserve">Word Build: digraph is one glued tile.</t>
  </si>
  <si>
    <t xml:space="preserve">Elkonin Boxes: digraph fills ONE box; place letters per box.</t>
  </si>
  <si>
    <t xml:space="preserve">Which Spelling?: c / k / ck at the end of the word.</t>
  </si>
  <si>
    <t xml:space="preserve">C3</t>
  </si>
  <si>
    <t xml:space="preserve">FLOSS rule</t>
  </si>
  <si>
    <t xml:space="preserve">Double f, l, s, z after a short vowel in 1-syllable words</t>
  </si>
  <si>
    <t xml:space="preserve">ff ll ss zz; exceptions bus, gas, if, yes</t>
  </si>
  <si>
    <t xml:space="preserve">puff, bell, miss, buzz</t>
  </si>
  <si>
    <t xml:space="preserve">Which Spelling?: f vs ff with the rule card shown.</t>
  </si>
  <si>
    <t xml:space="preserve">Which Spelling?: rule card hidden.</t>
  </si>
  <si>
    <t xml:space="preserve">Which Spelling?: mixed with exception words flagged as Rule-breakers.</t>
  </si>
  <si>
    <t xml:space="preserve">C4</t>
  </si>
  <si>
    <t xml:space="preserve">Initial blends</t>
  </si>
  <si>
    <t xml:space="preserve">Two consonants, each keeps its sound</t>
  </si>
  <si>
    <t xml:space="preserve">l-blends, r-blends, s-blends</t>
  </si>
  <si>
    <t xml:space="preserve">flag, crab, stop, swim</t>
  </si>
  <si>
    <t xml:space="preserve">from, friend</t>
  </si>
  <si>
    <t xml:space="preserve">Sound Slide: blend the 4 sounds, pick the picture.</t>
  </si>
  <si>
    <t xml:space="preserve">Word Build: blend split into 2 tiles + distractors.</t>
  </si>
  <si>
    <t xml:space="preserve">Elkonin Boxes: blend = 2 boxes (contrast with digraph = 1 box).</t>
  </si>
  <si>
    <t xml:space="preserve">C5</t>
  </si>
  <si>
    <t xml:space="preserve">Final blends</t>
  </si>
  <si>
    <t xml:space="preserve">Consonant clusters at the end (CVCC, CCVCC)</t>
  </si>
  <si>
    <t xml:space="preserve">-nd -st -mp -nt -lk -ft</t>
  </si>
  <si>
    <t xml:space="preserve">hand, fast, lamp, milk, drift, stamp</t>
  </si>
  <si>
    <t xml:space="preserve">Word Build: 4 tiles, no distractors.</t>
  </si>
  <si>
    <t xml:space="preserve">Elkonin Boxes: 4–5 boxes.</t>
  </si>
  <si>
    <t xml:space="preserve">Dictation Scroll: CCVCC words (drift, stamp).</t>
  </si>
  <si>
    <t xml:space="preserve">C6</t>
  </si>
  <si>
    <t xml:space="preserve">Glued (welded) sounds</t>
  </si>
  <si>
    <t xml:space="preserve">Chunks that stick together</t>
  </si>
  <si>
    <t xml:space="preserve">-ng -nk -all -am -an</t>
  </si>
  <si>
    <t xml:space="preserve">ring, bank, ball, sang</t>
  </si>
  <si>
    <t xml:space="preserve">Word Build: glued sound is one tile.</t>
  </si>
  <si>
    <t xml:space="preserve">Word Chain: ring → rang → rung → sung.</t>
  </si>
  <si>
    <t xml:space="preserve">Dictation Scroll.</t>
  </si>
  <si>
    <t xml:space="preserve">C7</t>
  </si>
  <si>
    <t xml:space="preserve">-tch / -dge</t>
  </si>
  <si>
    <t xml:space="preserve">Right after a short vowel use tch / dge</t>
  </si>
  <si>
    <t xml:space="preserve">tch vs ch, dge vs ge</t>
  </si>
  <si>
    <t xml:space="preserve">match, catch, bridge, badge (vs lunch, bench)</t>
  </si>
  <si>
    <t xml:space="preserve">Which Spelling?: tch vs ch, rule card shown.</t>
  </si>
  <si>
    <t xml:space="preserve">Which Spelling?: rule card hidden; dge vs ge added.</t>
  </si>
  <si>
    <t xml:space="preserve">Dictation Scroll with mixed /ch/ and /j/ endings.</t>
  </si>
  <si>
    <t xml:space="preserve">C8</t>
  </si>
  <si>
    <t xml:space="preserve">Suffix -s / -es (first morpheme)</t>
  </si>
  <si>
    <t xml:space="preserve">Base word + suffix; plural and verb -s</t>
  </si>
  <si>
    <t xml:space="preserve">-es after s x z ch sh; -s says /s/ or /z/</t>
  </si>
  <si>
    <t xml:space="preserve">cats, dogs, boxes, wishes</t>
  </si>
  <si>
    <t xml:space="preserve">Morpheme Smith: snap -s onto a base word and hear it.</t>
  </si>
  <si>
    <t xml:space="preserve">Morpheme Smith: choose -s or -es.</t>
  </si>
  <si>
    <t xml:space="preserve">Twin Caves: sort spoken plurals by ending sound /s/ /z/ /iz/.</t>
  </si>
  <si>
    <t xml:space="preserve">D1</t>
  </si>
  <si>
    <t xml:space="preserve">Magic e (VCe)</t>
  </si>
  <si>
    <t xml:space="preserve">Silent e makes the vowel say its name</t>
  </si>
  <si>
    <t xml:space="preserve">a_e i_e o_e u_e e_e</t>
  </si>
  <si>
    <t xml:space="preserve">cap→cape, kit→kite, hop→hope, cub→cube</t>
  </si>
  <si>
    <t xml:space="preserve">come, some, done, have, give</t>
  </si>
  <si>
    <t xml:space="preserve">Magic-e Wand: tap e onto a word, hear the change, pick the picture.</t>
  </si>
  <si>
    <t xml:space="preserve">Real or Nonsense?: read cap/cape-style pairs.</t>
  </si>
  <si>
    <t xml:space="preserve">Dictation Scroll: decide whether the word needs an e.</t>
  </si>
  <si>
    <t xml:space="preserve">3 Long-Vowel Lake</t>
  </si>
  <si>
    <t xml:space="preserve">D2</t>
  </si>
  <si>
    <t xml:space="preserve">Open syllable</t>
  </si>
  <si>
    <t xml:space="preserve">Vowel at the end of a syllable = long sound</t>
  </si>
  <si>
    <t xml:space="preserve">Open syllable type</t>
  </si>
  <si>
    <t xml:space="preserve">go, me, hi, she, ro·bot</t>
  </si>
  <si>
    <t xml:space="preserve">Syllable Sort: 2 houses — open vs closed.</t>
  </si>
  <si>
    <t xml:space="preserve">Syllable Sort: 3 houses — open, closed, magic e.</t>
  </si>
  <si>
    <t xml:space="preserve">Syllable Sort: nonsense syllables only (true decoding).</t>
  </si>
  <si>
    <t xml:space="preserve">D3</t>
  </si>
  <si>
    <t xml:space="preserve">Vowel teams I</t>
  </si>
  <si>
    <t xml:space="preserve">Two vowels, one sound</t>
  </si>
  <si>
    <t xml:space="preserve">ai/ay, ee/ea, oa/ow, igh; position rules (ai middle, ay end)</t>
  </si>
  <si>
    <t xml:space="preserve">rain, play, see, eat, boat, snow, night</t>
  </si>
  <si>
    <t xml:space="preserve">great, eye</t>
  </si>
  <si>
    <t xml:space="preserve">Word Build: vowel team is one tile.</t>
  </si>
  <si>
    <t xml:space="preserve">Which Spelling?: ai vs ay (position rule).</t>
  </si>
  <si>
    <t xml:space="preserve">Which Spelling?: ee vs ea (memory, no rule) + Dictation Scroll.</t>
  </si>
  <si>
    <t xml:space="preserve">D4</t>
  </si>
  <si>
    <t xml:space="preserve">R-controlled vowels</t>
  </si>
  <si>
    <t xml:space="preserve">"Bossy r" changes the vowel</t>
  </si>
  <si>
    <t xml:space="preserve">ar or er ir ur (er/ir/ur same sound)</t>
  </si>
  <si>
    <t xml:space="preserve">car, fork, her, bird, fur</t>
  </si>
  <si>
    <t xml:space="preserve">word, work</t>
  </si>
  <si>
    <t xml:space="preserve">Echo Shield: /ar/ vs /or/.</t>
  </si>
  <si>
    <t xml:space="preserve">Word Build with r-controlled tile.</t>
  </si>
  <si>
    <t xml:space="preserve">Which Spelling?: er / ir / ur.</t>
  </si>
  <si>
    <t xml:space="preserve">4 Growling Caves</t>
  </si>
  <si>
    <t xml:space="preserve">D5</t>
  </si>
  <si>
    <t xml:space="preserve">Diphthongs &amp; variant vowels</t>
  </si>
  <si>
    <t xml:space="preserve">Gliding and variant vowel sounds</t>
  </si>
  <si>
    <t xml:space="preserve">oi/oy, ou/ow, aw/au, oo (book/moon), ew/ue</t>
  </si>
  <si>
    <t xml:space="preserve">coin, boy, out, cow, saw, book, moon</t>
  </si>
  <si>
    <t xml:space="preserve">Echo Shield: hear /oi/, pick oi or ou.</t>
  </si>
  <si>
    <t xml:space="preserve">Which Spelling?: oi vs oy, ou vs ow (position rule).</t>
  </si>
  <si>
    <t xml:space="preserve">Dictation Scroll with mixed vowel teams.</t>
  </si>
  <si>
    <t xml:space="preserve">D6</t>
  </si>
  <si>
    <t xml:space="preserve">Soft c &amp; g; y as a vowel</t>
  </si>
  <si>
    <t xml:space="preserve">c/g soft before e i y; y = /ī/ or /ē/</t>
  </si>
  <si>
    <t xml:space="preserve">Soft c, soft g, y at end of word</t>
  </si>
  <si>
    <t xml:space="preserve">city, cent, gem; my, fly, happy</t>
  </si>
  <si>
    <t xml:space="preserve">Twin Caves: sort hard c vs soft c words.</t>
  </si>
  <si>
    <t xml:space="preserve">Twin Caves: sort y = /ī/ (my) vs y = /ē/ (happy).</t>
  </si>
  <si>
    <t xml:space="preserve">Real or Nonsense?: cint, gyp, cyb ...</t>
  </si>
  <si>
    <t xml:space="preserve">D7</t>
  </si>
  <si>
    <t xml:space="preserve">Silent letters &amp; advanced spellings</t>
  </si>
  <si>
    <t xml:space="preserve">Letters that don't speak</t>
  </si>
  <si>
    <t xml:space="preserve">kn wr gn mb; wa- (water), -al (talk)</t>
  </si>
  <si>
    <t xml:space="preserve">knit, write, gnat, lamb, walk</t>
  </si>
  <si>
    <t xml:space="preserve">could, would, should</t>
  </si>
  <si>
    <t xml:space="preserve">Heart Word: tap the silent letter to dim it.</t>
  </si>
  <si>
    <t xml:space="preserve">Word Build with a silent-letter tile.</t>
  </si>
  <si>
    <t xml:space="preserve">E1</t>
  </si>
  <si>
    <t xml:space="preserve">Compound words</t>
  </si>
  <si>
    <t xml:space="preserve">Two words joined; bridge from oral syllables</t>
  </si>
  <si>
    <t xml:space="preserve">Two closed-syllable words</t>
  </si>
  <si>
    <t xml:space="preserve">sunset, catnip, bathtub</t>
  </si>
  <si>
    <t xml:space="preserve">Syllable Splitter: drag two halves together (pictures).</t>
  </si>
  <si>
    <t xml:space="preserve">Syllable Splitter: slash the compound into its 2 words.</t>
  </si>
  <si>
    <t xml:space="preserve">Syllable Splitter: build a compound from 6 parts.</t>
  </si>
  <si>
    <t xml:space="preserve">5 Syllable Mountains</t>
  </si>
  <si>
    <t xml:space="preserve">E2</t>
  </si>
  <si>
    <t xml:space="preserve">VC/CV division (rabbit rule)</t>
  </si>
  <si>
    <t xml:space="preserve">Split between two consonants; both closed</t>
  </si>
  <si>
    <t xml:space="preserve">VC/CV</t>
  </si>
  <si>
    <t xml:space="preserve">rab·bit, nap·kin, pic·nic, mag·net</t>
  </si>
  <si>
    <t xml:space="preserve">Syllable Splitter: vowels pre-marked, split line hinted.</t>
  </si>
  <si>
    <t xml:space="preserve">Syllable Splitter: no marks.</t>
  </si>
  <si>
    <t xml:space="preserve">Dictation Scroll: spell it syllable by syllable.</t>
  </si>
  <si>
    <t xml:space="preserve">E3</t>
  </si>
  <si>
    <t xml:space="preserve">V/CV and VC/V (flex)</t>
  </si>
  <si>
    <t xml:space="preserve">Try open first (ro·bot), then closed (cam·el)</t>
  </si>
  <si>
    <t xml:space="preserve">V/CV, VC/V</t>
  </si>
  <si>
    <t xml:space="preserve">robot, tiger, camel, lemon, cabin</t>
  </si>
  <si>
    <t xml:space="preserve">Syllable Splitter: choose between 2 split points, hear each.</t>
  </si>
  <si>
    <t xml:space="preserve">Real or Nonsense?: check which split makes a real word.</t>
  </si>
  <si>
    <t xml:space="preserve">Syllable Splitter: nonsense 2-syllable words.</t>
  </si>
  <si>
    <t xml:space="preserve">E4</t>
  </si>
  <si>
    <t xml:space="preserve">Consonant-le</t>
  </si>
  <si>
    <t xml:space="preserve">Final -le syllable: count back 3</t>
  </si>
  <si>
    <t xml:space="preserve">-ble -dle -gle -ple -tle</t>
  </si>
  <si>
    <t xml:space="preserve">table, puddle, apple, candle</t>
  </si>
  <si>
    <t xml:space="preserve">Syllable Splitter: -le already split off.</t>
  </si>
  <si>
    <t xml:space="preserve">Syllable Sort: 6 houses (all syllable types).</t>
  </si>
  <si>
    <t xml:space="preserve">E5</t>
  </si>
  <si>
    <t xml:space="preserve">3+ syllables &amp; VCCCV</t>
  </si>
  <si>
    <t xml:space="preserve">Keep blends/digraphs together when splitting</t>
  </si>
  <si>
    <t xml:space="preserve">VCCCV, 3-syllable words</t>
  </si>
  <si>
    <t xml:space="preserve">fantastic, hundred, pumpkin, important</t>
  </si>
  <si>
    <t xml:space="preserve">Syllable Splitter with colour-coded syllable types.</t>
  </si>
  <si>
    <t xml:space="preserve">Syllable Splitter, no colours.</t>
  </si>
  <si>
    <t xml:space="preserve">Dictation Scroll of 3-syllable words.</t>
  </si>
  <si>
    <t xml:space="preserve">E6</t>
  </si>
  <si>
    <t xml:space="preserve">Schwa</t>
  </si>
  <si>
    <t xml:space="preserve">Unstressed vowel says /ə/</t>
  </si>
  <si>
    <t xml:space="preserve">Schwa in unstressed syllables</t>
  </si>
  <si>
    <t xml:space="preserve">about, sofa, lemon, pencil</t>
  </si>
  <si>
    <t xml:space="preserve">Echo Shield: tap the LOUD (stressed) syllable.</t>
  </si>
  <si>
    <t xml:space="preserve">Heart Word: find the lazy (schwa) vowel.</t>
  </si>
  <si>
    <t xml:space="preserve">Dictation Scroll of schwa words.</t>
  </si>
  <si>
    <t xml:space="preserve">F1</t>
  </si>
  <si>
    <t xml:space="preserve">Inflectional suffixes -ed, -ing</t>
  </si>
  <si>
    <t xml:space="preserve">-ed has 3 sounds; -ing</t>
  </si>
  <si>
    <t xml:space="preserve">-ed = /t/ /d/ /id/</t>
  </si>
  <si>
    <t xml:space="preserve">jumped, played, landed, jumping</t>
  </si>
  <si>
    <t xml:space="preserve">Morpheme Smith: snap -ed / -ing onto a base word.</t>
  </si>
  <si>
    <t xml:space="preserve">Twin Caves: sort -ed words by sound (3 caves).</t>
  </si>
  <si>
    <t xml:space="preserve">Dictation Scroll in short sentences.</t>
  </si>
  <si>
    <t xml:space="preserve">6 Morpheme Citadel</t>
  </si>
  <si>
    <t xml:space="preserve">F2</t>
  </si>
  <si>
    <t xml:space="preserve">Suffix spelling rules</t>
  </si>
  <si>
    <t xml:space="preserve">1-1-1 doubling, drop-e, y → i</t>
  </si>
  <si>
    <t xml:space="preserve">Doubling, dropping, changing rules</t>
  </si>
  <si>
    <t xml:space="preserve">hop→hopping, hope→hoping, cry→cried</t>
  </si>
  <si>
    <t xml:space="preserve">Rule Gate: rule card shown — double or not?</t>
  </si>
  <si>
    <t xml:space="preserve">Rule Gate: card hidden, one rule at a time.</t>
  </si>
  <si>
    <t xml:space="preserve">Rule Gate: all 3 rules mixed + exceptions.</t>
  </si>
  <si>
    <t xml:space="preserve">F3</t>
  </si>
  <si>
    <t xml:space="preserve">Anglo-Saxon prefixes</t>
  </si>
  <si>
    <t xml:space="preserve">Prefix changes meaning</t>
  </si>
  <si>
    <t xml:space="preserve">un- re- mis- pre- dis-</t>
  </si>
  <si>
    <t xml:space="preserve">unlock, redo, misspell, preheat, dislike</t>
  </si>
  <si>
    <t xml:space="preserve">Morpheme Smith with meaning cards (un = not).</t>
  </si>
  <si>
    <t xml:space="preserve">Morpheme Smith: build the word that matches a meaning.</t>
  </si>
  <si>
    <t xml:space="preserve">Sentence Scroll: choose the right prefixed word in context.</t>
  </si>
  <si>
    <t xml:space="preserve">F4</t>
  </si>
  <si>
    <t xml:space="preserve">Derivational suffixes</t>
  </si>
  <si>
    <t xml:space="preserve">Suffix changes word class / meaning</t>
  </si>
  <si>
    <t xml:space="preserve">-ful -less -ness -ly -er -est -ment</t>
  </si>
  <si>
    <t xml:space="preserve">helpful, careless, sadness, quickly</t>
  </si>
  <si>
    <t xml:space="preserve">Morpheme Smith: 2 parts.</t>
  </si>
  <si>
    <t xml:space="preserve">Morpheme Smith: 3 parts (un-help-ful).</t>
  </si>
  <si>
    <t xml:space="preserve">Sentence Scroll: fill the gap with the right form.</t>
  </si>
  <si>
    <t xml:space="preserve">F5</t>
  </si>
  <si>
    <t xml:space="preserve">Latin roots &amp; suffixes</t>
  </si>
  <si>
    <t xml:space="preserve">Roots carry meaning; -tion/-sion</t>
  </si>
  <si>
    <t xml:space="preserve">port rupt tract spect dict struct form; -tion -sion -able -ible</t>
  </si>
  <si>
    <t xml:space="preserve">transport, erupt, inspect, predict, construction</t>
  </si>
  <si>
    <t xml:space="preserve">Root Tree: sort words onto root branches.</t>
  </si>
  <si>
    <t xml:space="preserve">Morpheme Smith: prefix + root + suffix.</t>
  </si>
  <si>
    <t xml:space="preserve">Root Tree: infer the meaning of an unseen word.</t>
  </si>
  <si>
    <t xml:space="preserve">7 Root Ruins</t>
  </si>
  <si>
    <t xml:space="preserve">F6</t>
  </si>
  <si>
    <t xml:space="preserve">Greek combining forms</t>
  </si>
  <si>
    <t xml:space="preserve">Greek spellings ph = /f/, ch = /k/, y = /ĭ/</t>
  </si>
  <si>
    <t xml:space="preserve">phon graph photo tele bio micro scope -ology</t>
  </si>
  <si>
    <t xml:space="preserve">phone, graph, telescope, biology</t>
  </si>
  <si>
    <t xml:space="preserve">Root Tree: match combining form to meaning picture.</t>
  </si>
  <si>
    <t xml:space="preserve">Morpheme Smith: build 2-form words.</t>
  </si>
  <si>
    <t xml:space="preserve">Root Tree: build and define a new word.</t>
  </si>
  <si>
    <t xml:space="preserve">H1</t>
  </si>
  <si>
    <t xml:space="preserve">Irregular high-frequency words</t>
  </si>
  <si>
    <t xml:space="preserve">Mark the part that breaks the rule; learn by heart</t>
  </si>
  <si>
    <t xml:space="preserve">Introduced alongside the band that needs them</t>
  </si>
  <si>
    <t xml:space="preserve">said, was, of, the, come, friend, because</t>
  </si>
  <si>
    <t xml:space="preserve">(see column G per stage)</t>
  </si>
  <si>
    <t xml:space="preserve">≥90% read &amp; spell, 3 days</t>
  </si>
  <si>
    <t xml:space="preserve">Heart Word: hear the word, tap the tricky letters (heart), then build.</t>
  </si>
  <si>
    <t xml:space="preserve">Heart Word: build with distractors.</t>
  </si>
  <si>
    <t xml:space="preserve">Dictation Scroll: write it inside a sentence.</t>
  </si>
  <si>
    <t xml:space="preserve">Rare spawns in every zone</t>
  </si>
  <si>
    <t xml:space="preserve">R1</t>
  </si>
  <si>
    <t xml:space="preserve">Phrases &amp; decodable sentences</t>
  </si>
  <si>
    <t xml:space="preserve">Read connected text using mastered patterns only</t>
  </si>
  <si>
    <t xml:space="preserve">Decodable text drawn from mastered stages</t>
  </si>
  <si>
    <t xml:space="preserve">"The fish is in the dish."</t>
  </si>
  <si>
    <t xml:space="preserve">Accuracy first; speed is optional bonus</t>
  </si>
  <si>
    <t xml:space="preserve">Sentence Scroll: read a sentence, pick the matching picture.</t>
  </si>
  <si>
    <t xml:space="preserve">Sentence Scroll: fill the missing word.</t>
  </si>
  <si>
    <t xml:space="preserve">Real or Nonsense?: speed round (timer optional, never fails you).</t>
  </si>
  <si>
    <t xml:space="preserve">Daily Quest Board (village)</t>
  </si>
  <si>
    <t xml:space="preserve">Game modes catalogue — what to build</t>
  </si>
  <si>
    <t xml:space="preserve">22 OG-grounded modes. Last column counts how many Learning Map stages suggest each mode (live formula).</t>
  </si>
  <si>
    <t xml:space="preserve">Game mode</t>
  </si>
  <si>
    <t xml:space="preserve">OG skill trained</t>
  </si>
  <si>
    <t xml:space="preserve">Senses used</t>
  </si>
  <si>
    <t xml:space="preserve">How it plays</t>
  </si>
  <si>
    <t xml:space="preserve">Easy</t>
  </si>
  <si>
    <t xml:space="preserve">Normal</t>
  </si>
  <si>
    <t xml:space="preserve">Hard</t>
  </si>
  <si>
    <t xml:space="preserve">Fits which attack / monster</t>
  </si>
  <si>
    <t xml:space="preserve">Build effort</t>
  </si>
  <si>
    <t xml:space="preserve"># stages using it</t>
  </si>
  <si>
    <t xml:space="preserve">Rhyme Hunt</t>
  </si>
  <si>
    <t xml:space="preserve">Rhyme / word awareness</t>
  </si>
  <si>
    <t xml:space="preserve">Auditory</t>
  </si>
  <si>
    <t xml:space="preserve">Hear spoken words and judge rhyme; pictures as support.</t>
  </si>
  <si>
    <t xml:space="preserve">Yes/no rhyme with pictures</t>
  </si>
  <si>
    <t xml:space="preserve">Pick rhyme from 3</t>
  </si>
  <si>
    <t xml:space="preserve">Odd-one-out from 4, no pictures</t>
  </si>
  <si>
    <t xml:space="preserve">Wand Magic</t>
  </si>
  <si>
    <t xml:space="preserve">S</t>
  </si>
  <si>
    <t xml:space="preserve">Syllable Drum</t>
  </si>
  <si>
    <t xml:space="preserve">Auditory + Kinesthetic</t>
  </si>
  <si>
    <t xml:space="preserve">Tap a drum once per spoken syllable.</t>
  </si>
  <si>
    <t xml:space="preserve">Beat guide on</t>
  </si>
  <si>
    <t xml:space="preserve">Beat guide off</t>
  </si>
  <si>
    <t xml:space="preserve">Delete a syllable</t>
  </si>
  <si>
    <t xml:space="preserve">Onset Forge</t>
  </si>
  <si>
    <t xml:space="preserve">Onset–rime blending</t>
  </si>
  <si>
    <t xml:space="preserve">Drag an onset onto a rime anvil to forge a word.</t>
  </si>
  <si>
    <t xml:space="preserve">Hear result each drop</t>
  </si>
  <si>
    <t xml:space="preserve">Choose 1 of 3 onsets</t>
  </si>
  <si>
    <t xml:space="preserve">Swap the rime instead</t>
  </si>
  <si>
    <t xml:space="preserve">Heavy Hit (forge monsters)</t>
  </si>
  <si>
    <t xml:space="preserve">Echo Shield</t>
  </si>
  <si>
    <t xml:space="preserve">Phoneme isolation / sound–letter</t>
  </si>
  <si>
    <t xml:space="preserve">Auditory + Visual</t>
  </si>
  <si>
    <t xml:space="preserve">Hear a sound, raise the shield with the matching letter or picture.</t>
  </si>
  <si>
    <t xml:space="preserve">2 choices</t>
  </si>
  <si>
    <t xml:space="preserve">3–4 choices</t>
  </si>
  <si>
    <t xml:space="preserve">5 choices incl. confusables</t>
  </si>
  <si>
    <t xml:space="preserve">Wand Magic (audio monsters)</t>
  </si>
  <si>
    <t xml:space="preserve">Sound Slide</t>
  </si>
  <si>
    <t xml:space="preserve">Blending</t>
  </si>
  <si>
    <t xml:space="preserve">Sounds slide together into a word; pick what you heard.</t>
  </si>
  <si>
    <t xml:space="preserve">Stretched, connected sounds</t>
  </si>
  <si>
    <t xml:space="preserve">Separated sounds</t>
  </si>
  <si>
    <t xml:space="preserve">4–5 sound words</t>
  </si>
  <si>
    <t xml:space="preserve">Wand Magic / speed monsters</t>
  </si>
  <si>
    <t xml:space="preserve">Elkonin Boxes</t>
  </si>
  <si>
    <t xml:space="preserve">Segmenting (1 sound = 1 box)</t>
  </si>
  <si>
    <t xml:space="preserve">Auditory + Kinesthetic + Visual</t>
  </si>
  <si>
    <t xml:space="preserve">Push one token per sound into boxes, then swap tokens for letters.</t>
  </si>
  <si>
    <t xml:space="preserve">Box count shown</t>
  </si>
  <si>
    <t xml:space="preserve">Box count hidden</t>
  </si>
  <si>
    <t xml:space="preserve">Blends vs digraphs</t>
  </si>
  <si>
    <t xml:space="preserve">Heavy Hit</t>
  </si>
  <si>
    <t xml:space="preserve">M</t>
  </si>
  <si>
    <t xml:space="preserve">Word Chain</t>
  </si>
  <si>
    <t xml:space="preserve">Change one sound/letter at a time: cat → hat → hit → hip.</t>
  </si>
  <si>
    <t xml:space="preserve">Change first sound</t>
  </si>
  <si>
    <t xml:space="preserve">Change last sound</t>
  </si>
  <si>
    <t xml:space="preserve">Change vowel / inside blend</t>
  </si>
  <si>
    <t xml:space="preserve">Heavy Hit (2-word chain)</t>
  </si>
  <si>
    <t xml:space="preserve">Letter Trace</t>
  </si>
  <si>
    <t xml:space="preserve">Letter formation + sound (SOS)</t>
  </si>
  <si>
    <t xml:space="preserve">Kinesthetic + Tactile + Auditory</t>
  </si>
  <si>
    <t xml:space="preserve">Trace a giant letter with mouse/finger while saying its sound.</t>
  </si>
  <si>
    <t xml:space="preserve">Guided path + sound</t>
  </si>
  <si>
    <t xml:space="preserve">Faded path</t>
  </si>
  <si>
    <t xml:space="preserve">From memory</t>
  </si>
  <si>
    <t xml:space="preserve">Village practice (Scribe's Hut)</t>
  </si>
  <si>
    <t xml:space="preserve">Twin Caves</t>
  </si>
  <si>
    <t xml:space="preserve">Discrimination sort</t>
  </si>
  <si>
    <t xml:space="preserve">Visual + Auditory</t>
  </si>
  <si>
    <t xml:space="preserve">Sort items into 2–3 caves (b/d, e/i, hard/soft c, -ed sounds).</t>
  </si>
  <si>
    <t xml:space="preserve">2 caves with anchor pictures</t>
  </si>
  <si>
    <t xml:space="preserve">2 caves, no anchors</t>
  </si>
  <si>
    <t xml:space="preserve">3 caves, mixed</t>
  </si>
  <si>
    <t xml:space="preserve">Light Hit (review)</t>
  </si>
  <si>
    <t xml:space="preserve">Vowel Pick</t>
  </si>
  <si>
    <t xml:space="preserve">Short-vowel discrimination</t>
  </si>
  <si>
    <t xml:space="preserve">Only the vowel slot is empty; pick the vowel.</t>
  </si>
  <si>
    <t xml:space="preserve">2 vowels</t>
  </si>
  <si>
    <t xml:space="preserve">3 vowels</t>
  </si>
  <si>
    <t xml:space="preserve">5 vowels, nonsense words</t>
  </si>
  <si>
    <t xml:space="preserve">Light Hit</t>
  </si>
  <si>
    <t xml:space="preserve">Word Build</t>
  </si>
  <si>
    <t xml:space="preserve">Encoding with tiles</t>
  </si>
  <si>
    <t xml:space="preserve">Visual + Auditory + Kinesthetic</t>
  </si>
  <si>
    <t xml:space="preserve">Tap grapheme tiles in order to spell a dictated word.</t>
  </si>
  <si>
    <t xml:space="preserve">Correct tiles only, tiles speak</t>
  </si>
  <si>
    <t xml:space="preserve">+3 confusables</t>
  </si>
  <si>
    <t xml:space="preserve">+5 confusables, no tile audio</t>
  </si>
  <si>
    <t xml:space="preserve">Light / Heavy Hit</t>
  </si>
  <si>
    <t xml:space="preserve">Which Spelling?</t>
  </si>
  <si>
    <t xml:space="preserve">Spelling-rule choice</t>
  </si>
  <si>
    <t xml:space="preserve">Choose between spellings of one sound by rule (c/k/ck, ai/ay, tch/ch).</t>
  </si>
  <si>
    <t xml:space="preserve">Rule card shown</t>
  </si>
  <si>
    <t xml:space="preserve">Rule card hidden</t>
  </si>
  <si>
    <t xml:space="preserve">Mixed rules + exceptions</t>
  </si>
  <si>
    <t xml:space="preserve">Morpheme Smith</t>
  </si>
  <si>
    <t xml:space="preserve">Morpheme building</t>
  </si>
  <si>
    <t xml:space="preserve">Visual + Kinesthetic</t>
  </si>
  <si>
    <t xml:space="preserve">Snap prefix + base + suffix onto an anvil; meaning appears.</t>
  </si>
  <si>
    <t xml:space="preserve">2 parts + meaning card</t>
  </si>
  <si>
    <t xml:space="preserve">Build to match a meaning</t>
  </si>
  <si>
    <t xml:space="preserve">3 parts, no cards</t>
  </si>
  <si>
    <t xml:space="preserve">Magic-e Wand</t>
  </si>
  <si>
    <t xml:space="preserve">VCe pattern</t>
  </si>
  <si>
    <t xml:space="preserve">Wave the e onto a closed word and hear it change.</t>
  </si>
  <si>
    <t xml:space="preserve">Hear both forms</t>
  </si>
  <si>
    <t xml:space="preserve">Choose word for picture</t>
  </si>
  <si>
    <t xml:space="preserve">Spell: needs e or not?</t>
  </si>
  <si>
    <t xml:space="preserve">Syllable Sort</t>
  </si>
  <si>
    <t xml:space="preserve">Syllable types</t>
  </si>
  <si>
    <t xml:space="preserve">Visual</t>
  </si>
  <si>
    <t xml:space="preserve">Send each syllable/word to its syllable-type house.</t>
  </si>
  <si>
    <t xml:space="preserve">2 houses</t>
  </si>
  <si>
    <t xml:space="preserve">3–4 houses</t>
  </si>
  <si>
    <t xml:space="preserve">All 6 houses, nonsense syllables</t>
  </si>
  <si>
    <t xml:space="preserve">Syllable Splitter</t>
  </si>
  <si>
    <t xml:space="preserve">Syllable division</t>
  </si>
  <si>
    <t xml:space="preserve">Slash a long word into syllables with the sword, then read each part.</t>
  </si>
  <si>
    <t xml:space="preserve">Vowels marked, split hinted</t>
  </si>
  <si>
    <t xml:space="preserve">No marks</t>
  </si>
  <si>
    <t xml:space="preserve">Nonsense / 3+ syllables</t>
  </si>
  <si>
    <t xml:space="preserve">Real or Nonsense?</t>
  </si>
  <si>
    <t xml:space="preserve">Decoding (no guessing)</t>
  </si>
  <si>
    <t xml:space="preserve">Read a word; is it real or nonsense? Nonsense words stop memorised guessing.</t>
  </si>
  <si>
    <t xml:space="preserve">2 options, audio check</t>
  </si>
  <si>
    <t xml:space="preserve">No audio</t>
  </si>
  <si>
    <t xml:space="preserve">Optional speed round</t>
  </si>
  <si>
    <t xml:space="preserve">Light Hit / Daily Quest</t>
  </si>
  <si>
    <t xml:space="preserve">Rule Gate</t>
  </si>
  <si>
    <t xml:space="preserve">A gate opens only if the base + suffix is spelled by the right rule.</t>
  </si>
  <si>
    <t xml:space="preserve">One rule, card hidden</t>
  </si>
  <si>
    <t xml:space="preserve">3 rules mixed</t>
  </si>
  <si>
    <t xml:space="preserve">Heavy Hit (citadel)</t>
  </si>
  <si>
    <t xml:space="preserve">Root Tree</t>
  </si>
  <si>
    <t xml:space="preserve">Latin / Greek roots</t>
  </si>
  <si>
    <t xml:space="preserve">Hang words on the branch of their root; infer meanings.</t>
  </si>
  <si>
    <t xml:space="preserve">Sort with meaning pictures</t>
  </si>
  <si>
    <t xml:space="preserve">Sort without pictures</t>
  </si>
  <si>
    <t xml:space="preserve">Infer unseen words</t>
  </si>
  <si>
    <t xml:space="preserve">Wand Magic (ruins)</t>
  </si>
  <si>
    <t xml:space="preserve">Heart Word</t>
  </si>
  <si>
    <t xml:space="preserve">Irregular words</t>
  </si>
  <si>
    <t xml:space="preserve">Mark the part that breaks the rule with a heart, then spell it.</t>
  </si>
  <si>
    <t xml:space="preserve">Tap the tricky letters</t>
  </si>
  <si>
    <t xml:space="preserve">Build with distractors</t>
  </si>
  <si>
    <t xml:space="preserve">Write in a sentence</t>
  </si>
  <si>
    <t xml:space="preserve">Rule-breaker monsters</t>
  </si>
  <si>
    <t xml:space="preserve">Dictation Scroll</t>
  </si>
  <si>
    <t xml:space="preserve">Spelling from dictation</t>
  </si>
  <si>
    <t xml:space="preserve">Hear a word/sentence and type or tile it — the OG dictation step.</t>
  </si>
  <si>
    <t xml:space="preserve">Word, tiles given</t>
  </si>
  <si>
    <t xml:space="preserve">Word, free typing</t>
  </si>
  <si>
    <t xml:space="preserve">Sentence</t>
  </si>
  <si>
    <t xml:space="preserve">Heavy Hit / bosses</t>
  </si>
  <si>
    <t xml:space="preserve">Sentence Scroll</t>
  </si>
  <si>
    <t xml:space="preserve">Connected-text reading</t>
  </si>
  <si>
    <t xml:space="preserve">Read a decodable sentence; pick a picture or fill a gap.</t>
  </si>
  <si>
    <t xml:space="preserve">Pick matching picture</t>
  </si>
  <si>
    <t xml:space="preserve">Fill missing word</t>
  </si>
  <si>
    <t xml:space="preserve">Choose correct affix form</t>
  </si>
  <si>
    <t xml:space="preserve">Bosses / Daily Quest</t>
  </si>
  <si>
    <t xml:space="preserve">Build effort: S = reuses battle_screen tile/answer UI; M = new interaction (drag, slash, sort). Senses follow OG VAKT (visual, auditory, kinesthetic, tactile).</t>
  </si>
  <si>
    <t xml:space="preserve">Proposed world &amp; level structure</t>
  </si>
  <si>
    <t xml:space="preserve">Zones follow the OG sequence; a zone opens by MASTERY of the previous band, not by XP. # stages counts the Learning Map live.</t>
  </si>
  <si>
    <t xml:space="preserve">Zone</t>
  </si>
  <si>
    <t xml:space="preserve">World name</t>
  </si>
  <si>
    <t xml:space="preserve">OG stages covered</t>
  </si>
  <si>
    <t xml:space="preserve"># stages</t>
  </si>
  <si>
    <t xml:space="preserve">Player level (guide)</t>
  </si>
  <si>
    <t xml:space="preserve">Biome &amp; monster families → signature mode</t>
  </si>
  <si>
    <t xml:space="preserve">Boss (cumulative review)</t>
  </si>
  <si>
    <t xml:space="preserve">Gate to enter</t>
  </si>
  <si>
    <t xml:space="preserve">Village building unlocked</t>
  </si>
  <si>
    <t xml:space="preserve">Current build equivalent</t>
  </si>
  <si>
    <t xml:space="preserve">What changes</t>
  </si>
  <si>
    <t xml:space="preserve">Echo Meadow</t>
  </si>
  <si>
    <t xml:space="preserve">A1–A7</t>
  </si>
  <si>
    <t xml:space="preserve">1–3</t>
  </si>
  <si>
    <t xml:space="preserve">Sunny meadow, NO letters on screen. Echo Bats → Echo Shield; Hum Bees → Sound Slide; Clap Toads → Syllable Drum.</t>
  </si>
  <si>
    <t xml:space="preserve">Great Echo — mixes blend, segment and rhyme items</t>
  </si>
  <si>
    <t xml:space="preserve">None (start here)</t>
  </si>
  <si>
    <t xml:space="preserve">Well of Sounds (replay any sound)</t>
  </si>
  <si>
    <t xml:space="preserve">None</t>
  </si>
  <si>
    <t xml:space="preserve">NEW tutorial zone. OG starts with oral phonological awareness; the game currently skips it.</t>
  </si>
  <si>
    <t xml:space="preserve">Phoneme Village</t>
  </si>
  <si>
    <t xml:space="preserve">B1–B6</t>
  </si>
  <si>
    <t xml:space="preserve">3–8</t>
  </si>
  <si>
    <t xml:space="preserve">Village outskirts. Letter Sprites → Letter Trace / Echo Shield; Mirror Imps → Twin Caves (b/d).</t>
  </si>
  <si>
    <t xml:space="preserve">Letter Golem — all 26 letter sounds + qu</t>
  </si>
  <si>
    <t xml:space="preserve">Beat Great Echo</t>
  </si>
  <si>
    <t xml:space="preserve">Scribe's Hut (Letter Trace practice)</t>
  </si>
  <si>
    <t xml:space="preserve">Zone 1, Lv 1–5 (7 letters + VC/CVC)</t>
  </si>
  <si>
    <t xml:space="preserve">Expand from 7 letters to the full alphabet; move CVC words out to Zone 2.</t>
  </si>
  <si>
    <t xml:space="preserve">Closed-Syllable Woods</t>
  </si>
  <si>
    <t xml:space="preserve">C1–C8</t>
  </si>
  <si>
    <t xml:space="preserve">8–16</t>
  </si>
  <si>
    <t xml:space="preserve">3 sub-areas: Glade (CVC) · Thicket (digraphs, FLOSS, glued) · Ridge (blends, -tch/-dge, -s/-es). Speed Wolves → Sound Slide; Forge Boars → Word Chain.</t>
  </si>
  <si>
    <t xml:space="preserve">Thornwood Treant — dictation of mixed closed-syllable words</t>
  </si>
  <si>
    <t xml:space="preserve">Beat Letter Golem + B1–B6 mastered</t>
  </si>
  <si>
    <t xml:space="preserve">Smithy (Word Build upgrades)</t>
  </si>
  <si>
    <t xml:space="preserve">Zone 2, Lv 6–12 (CVC, sh/ch/th/ck, blends)</t>
  </si>
  <si>
    <t xml:space="preserve">Same idea, but 8 distinct stages instead of 3; add FLOSS, glued sounds, -tch/-dge, plural -s.</t>
  </si>
  <si>
    <t xml:space="preserve">Long-Vowel Lake</t>
  </si>
  <si>
    <t xml:space="preserve">D1–D3</t>
  </si>
  <si>
    <t xml:space="preserve">16–22</t>
  </si>
  <si>
    <t xml:space="preserve">Lake and islands. Magic-e Mages → Magic-e Wand; Twin Herons → Which Spelling? (ai/ay); Open Otters → Syllable Sort.</t>
  </si>
  <si>
    <t xml:space="preserve">Lake Wyrm — sorts closed / open / magic-e / vowel-team words</t>
  </si>
  <si>
    <t xml:space="preserve">Beat Treant + C1–C8 mastered</t>
  </si>
  <si>
    <t xml:space="preserve">Mage Tower (Magic-e Wand)</t>
  </si>
  <si>
    <t xml:space="preserve">None — skipped today</t>
  </si>
  <si>
    <t xml:space="preserve">NEW. Today the game jumps from blends straight to prefixes and irregular words.</t>
  </si>
  <si>
    <t xml:space="preserve">Growling Caves</t>
  </si>
  <si>
    <t xml:space="preserve">D4–D7</t>
  </si>
  <si>
    <t xml:space="preserve">22–28</t>
  </si>
  <si>
    <t xml:space="preserve">Caves and mines. Bossy-R Bears → Which Spelling? (er/ir/ur); Oi-Oy Goblins → Echo Shield; Silent Ghosts → Heart Word.</t>
  </si>
  <si>
    <t xml:space="preserve">Roaring Drake — r-controlled, diphthongs, soft c/g</t>
  </si>
  <si>
    <t xml:space="preserve">Beat Lake Wyrm + D1–D3 mastered</t>
  </si>
  <si>
    <t xml:space="preserve">Library (Sentence Scroll)</t>
  </si>
  <si>
    <t xml:space="preserve">NEW. Covers r-controlled vowels, diphthongs, soft c/g and silent letters.</t>
  </si>
  <si>
    <t xml:space="preserve">Syllable Mountains</t>
  </si>
  <si>
    <t xml:space="preserve">E1–E6</t>
  </si>
  <si>
    <t xml:space="preserve">28–34</t>
  </si>
  <si>
    <t xml:space="preserve">Mountain passes. Splitter Rams → Syllable Splitter; Schwa Yetis → Echo Shield (stress).</t>
  </si>
  <si>
    <t xml:space="preserve">Mountain Giant — 3-syllable words, all 6 syllable types</t>
  </si>
  <si>
    <t xml:space="preserve">Beat Drake + D4–D7 mastered</t>
  </si>
  <si>
    <t xml:space="preserve">Watchtower (Syllable Sort)</t>
  </si>
  <si>
    <t xml:space="preserve">Part of Zone 3, Lv 13–14 (picnic, rabbit, napkin...)</t>
  </si>
  <si>
    <t xml:space="preserve">Separate zone for syllable division, consonant-le and schwa.</t>
  </si>
  <si>
    <t xml:space="preserve">Morpheme Citadel</t>
  </si>
  <si>
    <t xml:space="preserve">F1–F4</t>
  </si>
  <si>
    <t xml:space="preserve">34–40</t>
  </si>
  <si>
    <t xml:space="preserve">Fortress. Affix Knights → Morpheme Smith; Rule Wardens → Rule Gate.</t>
  </si>
  <si>
    <t xml:space="preserve">Citadel King — build &amp; spell affixed words in sentences</t>
  </si>
  <si>
    <t xml:space="preserve">Beat Mountain Giant + E1–E6 mastered</t>
  </si>
  <si>
    <t xml:space="preserve">Forge of Words (Morpheme Smith)</t>
  </si>
  <si>
    <t xml:space="preserve">Zone 3, Lv 15–16 (re-, un-, -ful, -ness)</t>
  </si>
  <si>
    <t xml:space="preserve">Adds -ed/-ing and the 3 suffix rules before prefixes; Anglo-Saxon layer first.</t>
  </si>
  <si>
    <t xml:space="preserve">Root Ruins</t>
  </si>
  <si>
    <t xml:space="preserve">F5–F6</t>
  </si>
  <si>
    <t xml:space="preserve">40–45</t>
  </si>
  <si>
    <t xml:space="preserve">Ancient ruins. Root Wraiths → Root Tree; Greek Sphinx → Morpheme Smith.</t>
  </si>
  <si>
    <t xml:space="preserve">Ancient Lexicon — infer meanings of unseen words</t>
  </si>
  <si>
    <t xml:space="preserve">Beat Citadel King + F1–F4 mastered</t>
  </si>
  <si>
    <t xml:space="preserve">Academy (Root Tree)</t>
  </si>
  <si>
    <t xml:space="preserve">NEW end-game: Latin roots and Greek combining forms.</t>
  </si>
  <si>
    <t xml:space="preserve">All</t>
  </si>
  <si>
    <t xml:space="preserve">Rule-breakers (Heart words)</t>
  </si>
  <si>
    <t xml:space="preserve">Rare glowing monster in each zone that only uses the heart words for that band → Heart Word.</t>
  </si>
  <si>
    <t xml:space="preserve">Appears once its band is unlocked</t>
  </si>
  <si>
    <t xml:space="preserve">Zone 3, Lv 17–20 (said, was, come, have...)</t>
  </si>
  <si>
    <t xml:space="preserve">Spread heart words across the bands that need them instead of saving them for the end.</t>
  </si>
  <si>
    <t xml:space="preserve">Daily Quest Board</t>
  </si>
  <si>
    <t xml:space="preserve">R1 + review</t>
  </si>
  <si>
    <t xml:space="preserve">Village board: 5-minute daily mixed review drawn from mastered stages (spaced repetition) + Sentence Scroll.</t>
  </si>
  <si>
    <t xml:space="preserve">Always open</t>
  </si>
  <si>
    <t xml:space="preserve">Matches the GameSoul daily-ritual idea and OG cumulative review.</t>
  </si>
  <si>
    <t xml:space="preserve">Total stages</t>
  </si>
  <si>
    <t xml:space="preserve">Difficulty system — the same stage, three ways to play</t>
  </si>
  <si>
    <t xml:space="preserve">Difficulty changes scaffolding, not content. Content is set by the stage; the tier only changes how much support the child gets.</t>
  </si>
  <si>
    <t xml:space="preserve">Lever</t>
  </si>
  <si>
    <t xml:space="preserve">EASY (Apprentice)</t>
  </si>
  <si>
    <t xml:space="preserve">NORMAL (Adventurer)</t>
  </si>
  <si>
    <t xml:space="preserve">HARD (Champion)</t>
  </si>
  <si>
    <t xml:space="preserve">Why (OG / dyslexia rationale)</t>
  </si>
  <si>
    <t xml:space="preserve">Audio support</t>
  </si>
  <si>
    <t xml:space="preserve">Every tile speaks on tap; word repeats after 2 s (as now)</t>
  </si>
  <si>
    <t xml:space="preserve">Word plays once + Hear button</t>
  </si>
  <si>
    <t xml:space="preserve">Hear button only (dictation)</t>
  </si>
  <si>
    <t xml:space="preserve">Auditory channel is the anchor in OG; fade it gradually.</t>
  </si>
  <si>
    <t xml:space="preserve">Visual scaffolds</t>
  </si>
  <si>
    <t xml:space="preserve">Vowels colour-coded, syllable dots, picture shown</t>
  </si>
  <si>
    <t xml:space="preserve">Picture only</t>
  </si>
  <si>
    <t xml:space="preserve">Scaffolds first, then remove them — explicit → independent.</t>
  </si>
  <si>
    <t xml:space="preserve">Tiles &amp; distractors</t>
  </si>
  <si>
    <t xml:space="preserve">Correct tiles only (+0–1 easy distractor)</t>
  </si>
  <si>
    <t xml:space="preserve">+3 confusables (b/d, e/i, sh/ch)</t>
  </si>
  <si>
    <t xml:space="preserve">+5 confusables or free typing</t>
  </si>
  <si>
    <t xml:space="preserve">Uses the existing CONFUSABLES list in og_words.gd.</t>
  </si>
  <si>
    <t xml:space="preserve">Word choice</t>
  </si>
  <si>
    <t xml:space="preserve">Shortest, most regular words in the stage</t>
  </si>
  <si>
    <t xml:space="preserve">Typical words</t>
  </si>
  <si>
    <t xml:space="preserve">Longest words + nonsense words</t>
  </si>
  <si>
    <t xml:space="preserve">Nonsense words test true decoding, not memory.</t>
  </si>
  <si>
    <t xml:space="preserve">Tries before a miss</t>
  </si>
  <si>
    <t xml:space="preserve">Unlimited; after 2 errors the game models the answer and the child redoes it</t>
  </si>
  <si>
    <t xml:space="preserve">3 (as now)</t>
  </si>
  <si>
    <t xml:space="preserve">2</t>
  </si>
  <si>
    <t xml:space="preserve">OG error correction: guide to the right answer, never just mark it wrong.</t>
  </si>
  <si>
    <t xml:space="preserve">Hints</t>
  </si>
  <si>
    <t xml:space="preserve">Automatic after 1 error (sound + mouth cue)</t>
  </si>
  <si>
    <t xml:space="preserve">On request</t>
  </si>
  <si>
    <t xml:space="preserve">Costs 1 mana</t>
  </si>
  <si>
    <t xml:space="preserve">Keeps the child from guessing repeatedly.</t>
  </si>
  <si>
    <t xml:space="preserve">Timer</t>
  </si>
  <si>
    <t xml:space="preserve">Optional speed bonus only — never a fail</t>
  </si>
  <si>
    <t xml:space="preserve">Time pressure raises anxiety for dyslexic learners; accuracy first.</t>
  </si>
  <si>
    <t xml:space="preserve">Error feedback</t>
  </si>
  <si>
    <t xml:space="preserve">Show the correct tile, say the sound, redo</t>
  </si>
  <si>
    <t xml:space="preserve">Highlight the wrong tile and play its sound</t>
  </si>
  <si>
    <t xml:space="preserve">"Try again"</t>
  </si>
  <si>
    <t xml:space="preserve">Feedback names the sound, not just right/wrong.</t>
  </si>
  <si>
    <t xml:space="preserve">Review vs new items</t>
  </si>
  <si>
    <t xml:space="preserve">50% review / 50% new</t>
  </si>
  <si>
    <t xml:space="preserve">30% review / 70% new</t>
  </si>
  <si>
    <t xml:space="preserve">20% review / 80% new + cumulative</t>
  </si>
  <si>
    <t xml:space="preserve">OG is cumulative: every fight mixes in mastered items.</t>
  </si>
  <si>
    <t xml:space="preserve">Monster HP (hits)</t>
  </si>
  <si>
    <t xml:space="preserve">3</t>
  </si>
  <si>
    <t xml:space="preserve">3–5</t>
  </si>
  <si>
    <t xml:space="preserve">5–7</t>
  </si>
  <si>
    <t xml:space="preserve">Keeps a fight at roughly 3–7 words; short sessions.</t>
  </si>
  <si>
    <t xml:space="preserve">Player damage</t>
  </si>
  <si>
    <t xml:space="preserve">None — a miss only costs a turn</t>
  </si>
  <si>
    <t xml:space="preserve">Lose a heart (refilled in village)</t>
  </si>
  <si>
    <t xml:space="preserve">"Combat is assessment, never punishes" (project rule).</t>
  </si>
  <si>
    <t xml:space="preserve">Attack → mode mapping (keeps the current 3 attacks)</t>
  </si>
  <si>
    <t xml:space="preserve">Attack</t>
  </si>
  <si>
    <t xml:space="preserve">Damage</t>
  </si>
  <si>
    <t xml:space="preserve">What it asks</t>
  </si>
  <si>
    <t xml:space="preserve">Typical modes</t>
  </si>
  <si>
    <t xml:space="preserve">Why</t>
  </si>
  <si>
    <t xml:space="preserve">Wand Magic (listen)</t>
  </si>
  <si>
    <t xml:space="preserve">Current stage — listening / oral item</t>
  </si>
  <si>
    <t xml:space="preserve">Echo Shield, Sound Slide, Elkonin Boxes, Magic-e Wand</t>
  </si>
  <si>
    <t xml:space="preserve">Phonological skill under the written skill.</t>
  </si>
  <si>
    <t xml:space="preserve">Light Hit (sword)</t>
  </si>
  <si>
    <t xml:space="preserve">PREVIOUS mastered stage — recognition</t>
  </si>
  <si>
    <t xml:space="preserve">Twin Caves, Vowel Pick, Which Spelling?, Real or Nonsense?</t>
  </si>
  <si>
    <t xml:space="preserve">Built-in spaced review; feels easy, builds confidence.</t>
  </si>
  <si>
    <t xml:space="preserve">Heavy Hit (sword)</t>
  </si>
  <si>
    <t xml:space="preserve">Current stage — encoding (spell it)</t>
  </si>
  <si>
    <t xml:space="preserve">Word Build, Dictation Scroll, Morpheme Smith, Syllable Splitter</t>
  </si>
  <si>
    <t xml:space="preserve">Spelling is harder than reading, so it's worth 2.</t>
  </si>
  <si>
    <t xml:space="preserve">Adaptive tier calculator (edit the yellow cells)</t>
  </si>
  <si>
    <t xml:space="preserve">Legend: blue text on yellow = input. Example values shown — replace with a child's data.</t>
  </si>
  <si>
    <t xml:space="preserve">Correct answers in last 10 items (this stage)</t>
  </si>
  <si>
    <t xml:space="preserve">Separate days with ≥80% on this stage</t>
  </si>
  <si>
    <t xml:space="preserve">Current tier (Easy / Normal / Hard)</t>
  </si>
  <si>
    <t xml:space="preserve">Step-up threshold (accuracy)</t>
  </si>
  <si>
    <t xml:space="preserve">Source: IMSE describes a ~80% proficiency check before moving on; step thresholds are design assumptions.</t>
  </si>
  <si>
    <t xml:space="preserve">Step-down threshold (accuracy)</t>
  </si>
  <si>
    <t xml:space="preserve">Mastery threshold (accuracy)</t>
  </si>
  <si>
    <t xml:space="preserve">Days needed at mastery</t>
  </si>
  <si>
    <t xml:space="preserve">Rolling accuracy</t>
  </si>
  <si>
    <t xml:space="preserve">Recommended tier</t>
  </si>
  <si>
    <t xml:space="preserve">Stage status</t>
  </si>
  <si>
    <t xml:space="preserve">Stage status assumes today's session counts as one more day if accuracy ≥ mastery threshold.</t>
  </si>
  <si>
    <t xml:space="preserve">Current build — levels &amp; difficulty audit (commit ab9750d, 10 Oct 2026)</t>
  </si>
  <si>
    <t xml:space="preserve">What the code does today vs the OG sequence. Priority: High = wrong content reaches the child.</t>
  </si>
  <si>
    <t xml:space="preserve">#</t>
  </si>
  <si>
    <t xml:space="preserve">Area</t>
  </si>
  <si>
    <t xml:space="preserve">Finding</t>
  </si>
  <si>
    <t xml:space="preserve">Where</t>
  </si>
  <si>
    <t xml:space="preserve">Effect on the learner</t>
  </si>
  <si>
    <t xml:space="preserve">Recommended fix</t>
  </si>
  <si>
    <t xml:space="preserve">Priority</t>
  </si>
  <si>
    <t xml:space="preserve">Word data</t>
  </si>
  <si>
    <t xml:space="preserve">Three words spell wrongly: tiles for "drift" are d-r-i-f (builds "drif"), "sweep" is s-w-e-p ("swep"), "crown" is c-r-o-w ("crow").</t>
  </si>
  <si>
    <t xml:space="preserve">og_words.gd · WORDS level 3</t>
  </si>
  <si>
    <t xml:space="preserve">Child is marked right for a misspelling, or wrong for the real spelling.</t>
  </si>
  <si>
    <t xml:space="preserve">Fix tiles: d-r-i-f-t; s-w-ee-p; c-r-ow-n — and move sweep/crown to vowel-team stage D3/D5.</t>
  </si>
  <si>
    <t xml:space="preserve">High</t>
  </si>
  <si>
    <t xml:space="preserve">Sequence</t>
  </si>
  <si>
    <t xml:space="preserve">Blend level contains untaught vowel teams (sweep = ee, crown = ow).</t>
  </si>
  <si>
    <t xml:space="preserve">Breaks OG's "only what's been taught" rule.</t>
  </si>
  <si>
    <t xml:space="preserve">Keep blend words to short-vowel closed syllables (C4/C5).</t>
  </si>
  <si>
    <t xml:space="preserve">Level numbers</t>
  </si>
  <si>
    <t xml:space="preserve">Three numbering systems share one "level" field: WORDS uses 1–3, ZONE1_WORDS 1–5, ZONE3_WORDS 13–20. words_for_level(1) returns both CVC words AND single letters (a, i, m, s...).</t>
  </si>
  <si>
    <t xml:space="preserve">og_words.gd · words_for_level()</t>
  </si>
  <si>
    <t xml:space="preserve">Zone 2 monsters (Lv 6–7) can ask the child to "spell" a single letter like "a".</t>
  </si>
  <si>
    <t xml:space="preserve">Give every word a stage_id (e.g. "C1") separate from monster/player level.</t>
  </si>
  <si>
    <t xml:space="preserve">Zone 3 jumps from blends straight to prefixes and irregular words, skipping magic e, open syllables, vowel teams, r-controlled, consonant-le and syllable division.</t>
  </si>
  <si>
    <t xml:space="preserve">zone_catalog.gd; ZONE3_WORDS</t>
  </si>
  <si>
    <t xml:space="preserve">Child meets replay (open syllable + ay) and music (open u = /yoo/) with no instruction.</t>
  </si>
  <si>
    <t xml:space="preserve">Insert Long-Vowel Lake, Growling Caves, Syllable Mountains (see Level Redesign).</t>
  </si>
  <si>
    <t xml:space="preserve">Data errors in Zone 3: music sounds list /u/ (should be /ū/); area split a-r-ea; because sounds miss a vowel; come tiles c-o-me; kindness is an ind exception, not closed.</t>
  </si>
  <si>
    <t xml:space="preserve">og_words.gd · ZONE3_WORDS</t>
  </si>
  <si>
    <t xml:space="preserve">Audio and tiles teach the wrong sound.</t>
  </si>
  <si>
    <t xml:space="preserve">Re-check each entry; tag exceptions as Heart words.</t>
  </si>
  <si>
    <t xml:space="preserve">Hints too adult or wrong: cap = "a container for holding things"; crown = "Head adornment"; from = "Origin or source"; brim = "Edge of a container". "sam" is a name in lowercase.</t>
  </si>
  <si>
    <t xml:space="preserve">og_words.gd</t>
  </si>
  <si>
    <t xml:space="preserve">Meaning clues confuse young readers.</t>
  </si>
  <si>
    <t xml:space="preserve">Rewrite hints at a 6–8-year-old level; use pictures where possible.</t>
  </si>
  <si>
    <t xml:space="preserve">Medium</t>
  </si>
  <si>
    <t xml:space="preserve">Zone 2 range</t>
  </si>
  <si>
    <t xml:space="preserve">Zone 2 spans monster Lv 6–12 but only 3 content steps (CVC 6–7, digraphs 8–9, mixed 10–12).</t>
  </si>
  <si>
    <t xml:space="preserve">og_words.gd · pick_word_for_zone()</t>
  </si>
  <si>
    <t xml:space="preserve">Levels feel the same; no new pattern for several fights.</t>
  </si>
  <si>
    <t xml:space="preserve">Map each monster to a single stage (C1…C8).</t>
  </si>
  <si>
    <t xml:space="preserve">Gating</t>
  </si>
  <si>
    <t xml:space="preserve">No gate found: zones are entered just by walking, so a new player can reach the Citadel at once.</t>
  </si>
  <si>
    <t xml:space="preserve">iso_world.gd / zone_catalog.gd</t>
  </si>
  <si>
    <t xml:space="preserve">Child can jump to content far beyond their level → failure and frustration.</t>
  </si>
  <si>
    <t xml:space="preserve">Gate each zone with the previous boss + mastery of the band.</t>
  </si>
  <si>
    <t xml:space="preserve">Progression</t>
  </si>
  <si>
    <t xml:space="preserve">XP = monster word_level, so higher-zone monsters give much more XP; party level is shared in multiplayer.</t>
  </si>
  <si>
    <t xml:space="preserve">room_state_manager.gd · grant_party_xp()</t>
  </si>
  <si>
    <t xml:space="preserve">Rewards skipping ahead; two children at different stages share one level.</t>
  </si>
  <si>
    <t xml:space="preserve">Per-child mastery profile; XP for accuracy and review, not monster level.</t>
  </si>
  <si>
    <t xml:space="preserve">Difficulty</t>
  </si>
  <si>
    <t xml:space="preserve">Difficulty is only "word one level easier/harder" (Light = level−1, Heavy = level+1). Tries (3), audio and distractors are fixed.</t>
  </si>
  <si>
    <t xml:space="preserve">battle_screen.gd · _on_attack()</t>
  </si>
  <si>
    <t xml:space="preserve">No way to scaffold a struggling child or stretch a strong one inside a stage.</t>
  </si>
  <si>
    <t xml:space="preserve">Add Easy/Normal/Hard levers (see Difficulty System).</t>
  </si>
  <si>
    <t xml:space="preserve">Assessment</t>
  </si>
  <si>
    <t xml:space="preserve">No record of which stage/pattern the child gets right or wrong; no spaced review.</t>
  </si>
  <si>
    <t xml:space="preserve">Can't be diagnostic/prescriptive, a core OG principle.</t>
  </si>
  <si>
    <t xml:space="preserve">Log every item (stage_id, correct, tries, date); drive review from it.</t>
  </si>
  <si>
    <t xml:space="preserve">Oral skills</t>
  </si>
  <si>
    <t xml:space="preserve">No phonological-awareness (oral, no letters) stage before letters.</t>
  </si>
  <si>
    <t xml:space="preserve">Weak phonemic awareness is the core difficulty in dyslexia.</t>
  </si>
  <si>
    <t xml:space="preserve">Add Echo Meadow tutorial zone (A1–A7).</t>
  </si>
  <si>
    <t xml:space="preserve">Project docs</t>
  </si>
  <si>
    <t xml:space="preserve">.summerrules and the ARPG plan still describe a top-down 2D village.tscn world; main scene is now iso_world.tscn.</t>
  </si>
  <si>
    <t xml:space="preserve">.summerrules; .summer/plans/arpg-pivot.plan.md</t>
  </si>
  <si>
    <t xml:space="preserve">AI helpers and future you follow outdated rules.</t>
  </si>
  <si>
    <t xml:space="preserve">Update rules + plan to the new zone list.</t>
  </si>
  <si>
    <t xml:space="preserve">Low</t>
  </si>
  <si>
    <t xml:space="preserve">Keep</t>
  </si>
  <si>
    <t xml:space="preserve">Good foundations: CONFUSABLES list (b/d, sh/ch, c/k/ck), phoneme audio for every tile, Which Spelling? for final /k/, 2-second word repeat, no-punishment combat.</t>
  </si>
  <si>
    <t xml:space="preserve">og_words.gd; battle_screen.gd</t>
  </si>
  <si>
    <t xml:space="preserve">Reuse all of these in the new modes.</t>
  </si>
  <si>
    <t xml:space="preserve">Research used for the learning map and difficulty system.</t>
  </si>
  <si>
    <t xml:space="preserve">Source</t>
  </si>
  <si>
    <t xml:space="preserve">Used for</t>
  </si>
  <si>
    <t xml:space="preserve">URL</t>
  </si>
  <si>
    <t xml:space="preserve">IMSE — An Overview of Orton-Gillingham</t>
  </si>
  <si>
    <t xml:space="preserve">OG principles; ~80% proficiency check; sounds → syllables → morphology</t>
  </si>
  <si>
    <t xml:space="preserve">https://imse.com/journal/article/wp/12481/</t>
  </si>
  <si>
    <t xml:space="preserve">IMSE — Phonological Awareness Continuum Guide</t>
  </si>
  <si>
    <t xml:space="preserve">Band A order: word → syllable → onset-rime → phoneme</t>
  </si>
  <si>
    <t xml:space="preserve">https://imse.com/journal/article/phonological-awareness-continuum-guide/</t>
  </si>
  <si>
    <t xml:space="preserve">Reading Rockets — Phonological and Phonemic Awareness (Reading 101)</t>
  </si>
  <si>
    <t xml:space="preserve">Band A tasks (isolation, blending, segmenting, manipulation)</t>
  </si>
  <si>
    <t xml:space="preserve">https://www.readingrockets.org/reading-101/reading-101-learning-modules/course-modules/phonological-and-phonemic-awareness/depth</t>
  </si>
  <si>
    <t xml:space="preserve">LiteracyLearn — Free Phonics Scope &amp; Sequence</t>
  </si>
  <si>
    <t xml:space="preserve">Bands B–F order: FLOSS, -tch/-dge, suffix rules, vowel teams, r-controlled, soft c/g, silent letters, morphology</t>
  </si>
  <si>
    <t xml:space="preserve">https://literacylearn.com/free-phonics-scope-sequence/</t>
  </si>
  <si>
    <t xml:space="preserve">Reading Rockets — Historical Layers of English</t>
  </si>
  <si>
    <t xml:space="preserve">Band F: Anglo-Saxon → Latin → Greek morphology</t>
  </si>
  <si>
    <t xml:space="preserve">https://www.readingrockets.org/topics/spelling-and-word-study/articles/historical-layers-english</t>
  </si>
  <si>
    <t xml:space="preserve">Henry (2019) — Morphemes Matter / Words framework (UF)</t>
  </si>
  <si>
    <t xml:space="preserve">Letter–sound, syllable, morpheme layers</t>
  </si>
  <si>
    <t xml:space="preserve">https://education.ufl.edu/patterson/files/2021/01/Henry2019.pdf</t>
  </si>
  <si>
    <t xml:space="preserve">Project code — og-english-learning @ ab9750d</t>
  </si>
  <si>
    <t xml:space="preserve">og_words.gd, zone_catalog.gd, iso_map_builder.gd, battle_screen.gd, room_state_manager.gd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</si>
</sst>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DEBD3"/>
        <bgColor rgb="FFFFF3CD"/>
      </patternFill>
    </fill>
    <fill>
      <patternFill patternType="solid">
        <fgColor rgb="FFFFF6CC"/>
        <bgColor rgb="FFFFF3CD"/>
      </patternFill>
    </fill>
    <fill>
      <patternFill patternType="solid">
        <fgColor rgb="FFDDF2D8"/>
        <bgColor rgb="FFE8F0E0"/>
      </patternFill>
    </fill>
    <fill>
      <patternFill patternType="solid">
        <fgColor rgb="FFD6ECF7"/>
        <bgColor rgb="FFDDF2D8"/>
      </patternFill>
    </fill>
    <fill>
      <patternFill patternType="solid">
        <fgColor rgb="FFE6E0F5"/>
        <bgColor rgb="FFF7DDE6"/>
      </patternFill>
    </fill>
    <fill>
      <patternFill patternType="solid">
        <fgColor rgb="FFF7DDE6"/>
        <bgColor rgb="FFF8D7DA"/>
      </patternFill>
    </fill>
    <fill>
      <patternFill patternType="solid">
        <fgColor rgb="FFF2F2F2"/>
        <bgColor rgb="FFE8F0E0"/>
      </patternFill>
    </fill>
    <fill>
      <patternFill patternType="solid">
        <fgColor rgb="FFE8F0E0"/>
        <bgColor rgb="FFDDF2D8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6ECF7"/>
          <bgColor rgb="FF000000"/>
        </patternFill>
      </fill>
    </dxf>
    <dxf>
      <fill>
        <patternFill patternType="solid">
          <fgColor rgb="FFDDF2D8"/>
          <bgColor rgb="FF000000"/>
        </patternFill>
      </fill>
    </dxf>
    <dxf>
      <fill>
        <patternFill patternType="solid">
          <fgColor rgb="FFE6E0F5"/>
          <bgColor rgb="FF000000"/>
        </patternFill>
      </fill>
    </dxf>
    <dxf>
      <fill>
        <patternFill patternType="solid">
          <fgColor rgb="FFE8F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DDE6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ont>
        <name val="Arial"/>
        <charset val="1"/>
        <family val="0"/>
        <b val="1"/>
        <color rgb="FF1E7B34"/>
      </font>
    </dxf>
    <dxf>
      <font>
        <name val="Arial"/>
        <charset val="1"/>
        <family val="0"/>
        <b val="1"/>
        <color rgb="FFB26A00"/>
      </font>
    </dxf>
    <dxf>
      <font>
        <name val="Arial"/>
        <charset val="1"/>
        <family val="0"/>
        <b val="1"/>
        <color rgb="FFB00020"/>
      </font>
    </dxf>
    <dxf>
      <font>
        <name val="Arial"/>
        <charset val="1"/>
        <family val="0"/>
        <b val="1"/>
        <color rgb="FFB0002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B34"/>
      <rgbColor rgb="FF000080"/>
      <rgbColor rgb="FF8A5A00"/>
      <rgbColor rgb="FF800080"/>
      <rgbColor rgb="FF008080"/>
      <rgbColor rgb="FFC8CED6"/>
      <rgbColor rgb="FF808080"/>
      <rgbColor rgb="FF9999FF"/>
      <rgbColor rgb="FF993366"/>
      <rgbColor rgb="FFFFF6CC"/>
      <rgbColor rgb="FFD6ECF7"/>
      <rgbColor rgb="FF660066"/>
      <rgbColor rgb="FFFF8080"/>
      <rgbColor rgb="FF0066CC"/>
      <rgbColor rgb="FFE6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0"/>
      <rgbColor rgb="FFDDF2D8"/>
      <rgbColor rgb="FFFFF3CD"/>
      <rgbColor rgb="FFF2F2F2"/>
      <rgbColor rgb="FFF7DDE6"/>
      <rgbColor rgb="FFFDEBD3"/>
      <rgbColor rgb="FFF8D7DA"/>
      <rgbColor rgb="FF3366FF"/>
      <rgbColor rgb="FF33CCCC"/>
      <rgbColor rgb="FF99CC00"/>
      <rgbColor rgb="FFFFCC00"/>
      <rgbColor rgb="FFFF9900"/>
      <rgbColor rgb="FFB26A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5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A5" s="4" t="n">
        <v>1</v>
      </c>
      <c r="B5" s="5" t="s">
        <v>3</v>
      </c>
      <c r="C5" s="5"/>
      <c r="D5" s="5"/>
      <c r="E5" s="5"/>
      <c r="F5" s="5"/>
    </row>
    <row r="6" customFormat="false" ht="30" hidden="false" customHeight="true" outlineLevel="0" collapsed="false">
      <c r="A6" s="4" t="n">
        <v>2</v>
      </c>
      <c r="B6" s="5" t="s">
        <v>4</v>
      </c>
      <c r="C6" s="5"/>
      <c r="D6" s="5"/>
      <c r="E6" s="5"/>
      <c r="F6" s="5"/>
    </row>
    <row r="7" customFormat="false" ht="30" hidden="false" customHeight="true" outlineLevel="0" collapsed="false">
      <c r="A7" s="4" t="n">
        <v>3</v>
      </c>
      <c r="B7" s="5" t="s">
        <v>5</v>
      </c>
      <c r="C7" s="5"/>
      <c r="D7" s="5"/>
      <c r="E7" s="5"/>
      <c r="F7" s="5"/>
    </row>
    <row r="8" customFormat="false" ht="30" hidden="false" customHeight="true" outlineLevel="0" collapsed="false">
      <c r="A8" s="4" t="n">
        <v>4</v>
      </c>
      <c r="B8" s="5" t="s">
        <v>6</v>
      </c>
      <c r="C8" s="5"/>
      <c r="D8" s="5"/>
      <c r="E8" s="5"/>
      <c r="F8" s="5"/>
    </row>
    <row r="9" customFormat="false" ht="30" hidden="false" customHeight="true" outlineLevel="0" collapsed="false">
      <c r="A9" s="4" t="n">
        <v>5</v>
      </c>
      <c r="B9" s="5" t="s">
        <v>7</v>
      </c>
      <c r="C9" s="5"/>
      <c r="D9" s="5"/>
      <c r="E9" s="5"/>
      <c r="F9" s="5"/>
    </row>
    <row r="10" customFormat="false" ht="30" hidden="false" customHeight="true" outlineLevel="0" collapsed="false">
      <c r="A10" s="4" t="n">
        <v>6</v>
      </c>
      <c r="B10" s="5" t="s">
        <v>8</v>
      </c>
      <c r="C10" s="5"/>
      <c r="D10" s="5"/>
      <c r="E10" s="5"/>
      <c r="F10" s="5"/>
    </row>
    <row r="11" customFormat="false" ht="30" hidden="false" customHeight="true" outlineLevel="0" collapsed="false">
      <c r="A11" s="4" t="n">
        <v>7</v>
      </c>
      <c r="B11" s="5" t="s">
        <v>9</v>
      </c>
      <c r="C11" s="5"/>
      <c r="D11" s="5"/>
      <c r="E11" s="5"/>
      <c r="F11" s="5"/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</row>
    <row r="15" customFormat="false" ht="15" hidden="false" customHeight="false" outlineLevel="0" collapsed="false">
      <c r="B15" s="7" t="s">
        <v>16</v>
      </c>
      <c r="C15" s="8" t="n">
        <f aca="false">COUNTIF('Learning Map'!$B$5:$B$46,B15)</f>
        <v>7</v>
      </c>
      <c r="D15" s="8" t="n">
        <f aca="false">COUNTIFS('Learning Map'!$B$5:$B$46,B15,'Learning Map'!$M$5:$M$46,"Yes")</f>
        <v>0</v>
      </c>
      <c r="E15" s="8" t="n">
        <f aca="false">COUNTIFS('Learning Map'!$B$5:$B$46,B15,'Learning Map'!$M$5:$M$46,"Partial")</f>
        <v>2</v>
      </c>
      <c r="F15" s="8" t="n">
        <f aca="false">COUNTIFS('Learning Map'!$B$5:$B$46,B15,'Learning Map'!$M$5:$M$46,"No")</f>
        <v>5</v>
      </c>
    </row>
    <row r="16" customFormat="false" ht="15" hidden="false" customHeight="false" outlineLevel="0" collapsed="false">
      <c r="B16" s="9" t="s">
        <v>17</v>
      </c>
      <c r="C16" s="10" t="n">
        <f aca="false">COUNTIF('Learning Map'!$B$5:$B$46,B16)</f>
        <v>6</v>
      </c>
      <c r="D16" s="10" t="n">
        <f aca="false">COUNTIFS('Learning Map'!$B$5:$B$46,B16,'Learning Map'!$M$5:$M$46,"Yes")</f>
        <v>0</v>
      </c>
      <c r="E16" s="10" t="n">
        <f aca="false">COUNTIFS('Learning Map'!$B$5:$B$46,B16,'Learning Map'!$M$5:$M$46,"Partial")</f>
        <v>3</v>
      </c>
      <c r="F16" s="10" t="n">
        <f aca="false">COUNTIFS('Learning Map'!$B$5:$B$46,B16,'Learning Map'!$M$5:$M$46,"No")</f>
        <v>3</v>
      </c>
    </row>
    <row r="17" customFormat="false" ht="15" hidden="false" customHeight="false" outlineLevel="0" collapsed="false">
      <c r="B17" s="11" t="s">
        <v>18</v>
      </c>
      <c r="C17" s="12" t="n">
        <f aca="false">COUNTIF('Learning Map'!$B$5:$B$46,B17)</f>
        <v>8</v>
      </c>
      <c r="D17" s="12" t="n">
        <f aca="false">COUNTIFS('Learning Map'!$B$5:$B$46,B17,'Learning Map'!$M$5:$M$46,"Yes")</f>
        <v>3</v>
      </c>
      <c r="E17" s="12" t="n">
        <f aca="false">COUNTIFS('Learning Map'!$B$5:$B$46,B17,'Learning Map'!$M$5:$M$46,"Partial")</f>
        <v>1</v>
      </c>
      <c r="F17" s="12" t="n">
        <f aca="false">COUNTIFS('Learning Map'!$B$5:$B$46,B17,'Learning Map'!$M$5:$M$46,"No")</f>
        <v>4</v>
      </c>
    </row>
    <row r="18" customFormat="false" ht="15" hidden="false" customHeight="false" outlineLevel="0" collapsed="false">
      <c r="B18" s="13" t="s">
        <v>19</v>
      </c>
      <c r="C18" s="14" t="n">
        <f aca="false">COUNTIF('Learning Map'!$B$5:$B$46,B18)</f>
        <v>7</v>
      </c>
      <c r="D18" s="14" t="n">
        <f aca="false">COUNTIFS('Learning Map'!$B$5:$B$46,B18,'Learning Map'!$M$5:$M$46,"Yes")</f>
        <v>0</v>
      </c>
      <c r="E18" s="14" t="n">
        <f aca="false">COUNTIFS('Learning Map'!$B$5:$B$46,B18,'Learning Map'!$M$5:$M$46,"Partial")</f>
        <v>0</v>
      </c>
      <c r="F18" s="14" t="n">
        <f aca="false">COUNTIFS('Learning Map'!$B$5:$B$46,B18,'Learning Map'!$M$5:$M$46,"No")</f>
        <v>7</v>
      </c>
    </row>
    <row r="19" customFormat="false" ht="15" hidden="false" customHeight="false" outlineLevel="0" collapsed="false">
      <c r="B19" s="15" t="s">
        <v>20</v>
      </c>
      <c r="C19" s="16" t="n">
        <f aca="false">COUNTIF('Learning Map'!$B$5:$B$46,B19)</f>
        <v>6</v>
      </c>
      <c r="D19" s="16" t="n">
        <f aca="false">COUNTIFS('Learning Map'!$B$5:$B$46,B19,'Learning Map'!$M$5:$M$46,"Yes")</f>
        <v>0</v>
      </c>
      <c r="E19" s="16" t="n">
        <f aca="false">COUNTIFS('Learning Map'!$B$5:$B$46,B19,'Learning Map'!$M$5:$M$46,"Partial")</f>
        <v>3</v>
      </c>
      <c r="F19" s="16" t="n">
        <f aca="false">COUNTIFS('Learning Map'!$B$5:$B$46,B19,'Learning Map'!$M$5:$M$46,"No")</f>
        <v>3</v>
      </c>
    </row>
    <row r="20" customFormat="false" ht="15" hidden="false" customHeight="false" outlineLevel="0" collapsed="false">
      <c r="B20" s="17" t="s">
        <v>21</v>
      </c>
      <c r="C20" s="18" t="n">
        <f aca="false">COUNTIF('Learning Map'!$B$5:$B$46,B20)</f>
        <v>6</v>
      </c>
      <c r="D20" s="18" t="n">
        <f aca="false">COUNTIFS('Learning Map'!$B$5:$B$46,B20,'Learning Map'!$M$5:$M$46,"Yes")</f>
        <v>0</v>
      </c>
      <c r="E20" s="18" t="n">
        <f aca="false">COUNTIFS('Learning Map'!$B$5:$B$46,B20,'Learning Map'!$M$5:$M$46,"Partial")</f>
        <v>2</v>
      </c>
      <c r="F20" s="18" t="n">
        <f aca="false">COUNTIFS('Learning Map'!$B$5:$B$46,B20,'Learning Map'!$M$5:$M$46,"No")</f>
        <v>4</v>
      </c>
    </row>
    <row r="21" customFormat="false" ht="15" hidden="false" customHeight="false" outlineLevel="0" collapsed="false">
      <c r="B21" s="19" t="s">
        <v>22</v>
      </c>
      <c r="C21" s="20" t="n">
        <f aca="false">COUNTIF('Learning Map'!$B$5:$B$46,B21)</f>
        <v>1</v>
      </c>
      <c r="D21" s="20" t="n">
        <f aca="false">COUNTIFS('Learning Map'!$B$5:$B$46,B21,'Learning Map'!$M$5:$M$46,"Yes")</f>
        <v>0</v>
      </c>
      <c r="E21" s="20" t="n">
        <f aca="false">COUNTIFS('Learning Map'!$B$5:$B$46,B21,'Learning Map'!$M$5:$M$46,"Partial")</f>
        <v>1</v>
      </c>
      <c r="F21" s="20" t="n">
        <f aca="false">COUNTIFS('Learning Map'!$B$5:$B$46,B21,'Learning Map'!$M$5:$M$46,"No")</f>
        <v>0</v>
      </c>
    </row>
    <row r="22" customFormat="false" ht="15" hidden="false" customHeight="false" outlineLevel="0" collapsed="false">
      <c r="B22" s="21" t="s">
        <v>23</v>
      </c>
      <c r="C22" s="22" t="n">
        <f aca="false">COUNTIF('Learning Map'!$B$5:$B$46,B22)</f>
        <v>1</v>
      </c>
      <c r="D22" s="22" t="n">
        <f aca="false">COUNTIFS('Learning Map'!$B$5:$B$46,B22,'Learning Map'!$M$5:$M$46,"Yes")</f>
        <v>0</v>
      </c>
      <c r="E22" s="22" t="n">
        <f aca="false">COUNTIFS('Learning Map'!$B$5:$B$46,B22,'Learning Map'!$M$5:$M$46,"Partial")</f>
        <v>0</v>
      </c>
      <c r="F22" s="22" t="n">
        <f aca="false">COUNTIFS('Learning Map'!$B$5:$B$46,B22,'Learning Map'!$M$5:$M$46,"No")</f>
        <v>1</v>
      </c>
    </row>
    <row r="23" customFormat="false" ht="15" hidden="false" customHeight="false" outlineLevel="0" collapsed="false">
      <c r="B23" s="23" t="s">
        <v>24</v>
      </c>
      <c r="C23" s="24" t="n">
        <f aca="false">SUM(C15:C22)</f>
        <v>42</v>
      </c>
      <c r="D23" s="24" t="n">
        <f aca="false">SUM(D15:D22)</f>
        <v>3</v>
      </c>
      <c r="E23" s="24" t="n">
        <f aca="false">SUM(E15:E22)</f>
        <v>12</v>
      </c>
      <c r="F23" s="24" t="n">
        <f aca="false">SUM(F15:F22)</f>
        <v>27</v>
      </c>
    </row>
    <row r="24" customFormat="false" ht="15" hidden="false" customHeight="false" outlineLevel="0" collapsed="false">
      <c r="B24" s="25" t="s">
        <v>25</v>
      </c>
      <c r="D24" s="26" t="n">
        <f aca="false">IF(C23=0,0,(D23+E23)/C23)</f>
        <v>0.357142857142857</v>
      </c>
    </row>
    <row r="25" customFormat="false" ht="15" hidden="false" customHeight="false" outlineLevel="0" collapsed="false">
      <c r="B25" s="25" t="s">
        <v>26</v>
      </c>
      <c r="D25" s="26" t="n">
        <f aca="false">IF(C23=0,0,D23/C23)</f>
        <v>0.0714285714285714</v>
      </c>
    </row>
    <row r="27" customFormat="false" ht="15" hidden="false" customHeight="false" outlineLevel="0" collapsed="false">
      <c r="B27" s="3" t="s">
        <v>27</v>
      </c>
    </row>
    <row r="28" customFormat="false" ht="27.75" hidden="false" customHeight="true" outlineLevel="0" collapsed="false">
      <c r="B28" s="27" t="s">
        <v>28</v>
      </c>
      <c r="C28" s="5" t="s">
        <v>29</v>
      </c>
      <c r="D28" s="5"/>
      <c r="E28" s="5"/>
      <c r="F28" s="5"/>
    </row>
    <row r="29" customFormat="false" ht="27.75" hidden="false" customHeight="true" outlineLevel="0" collapsed="false">
      <c r="B29" s="27" t="s">
        <v>30</v>
      </c>
      <c r="C29" s="5" t="s">
        <v>31</v>
      </c>
      <c r="D29" s="5"/>
      <c r="E29" s="5"/>
      <c r="F29" s="5"/>
    </row>
    <row r="30" customFormat="false" ht="27.75" hidden="false" customHeight="true" outlineLevel="0" collapsed="false">
      <c r="B30" s="27" t="s">
        <v>32</v>
      </c>
      <c r="C30" s="5" t="s">
        <v>33</v>
      </c>
      <c r="D30" s="5"/>
      <c r="E30" s="5"/>
      <c r="F30" s="5"/>
    </row>
    <row r="31" customFormat="false" ht="27.75" hidden="false" customHeight="true" outlineLevel="0" collapsed="false">
      <c r="B31" s="27" t="s">
        <v>34</v>
      </c>
      <c r="C31" s="5" t="s">
        <v>35</v>
      </c>
      <c r="D31" s="5"/>
      <c r="E31" s="5"/>
      <c r="F31" s="5"/>
    </row>
    <row r="32" customFormat="false" ht="27.75" hidden="false" customHeight="true" outlineLevel="0" collapsed="false">
      <c r="B32" s="27" t="s">
        <v>36</v>
      </c>
      <c r="C32" s="5" t="s">
        <v>37</v>
      </c>
      <c r="D32" s="5"/>
      <c r="E32" s="5"/>
      <c r="F32" s="5"/>
    </row>
    <row r="33" customFormat="false" ht="27.75" hidden="false" customHeight="true" outlineLevel="0" collapsed="false">
      <c r="B33" s="27" t="s">
        <v>38</v>
      </c>
      <c r="C33" s="5" t="s">
        <v>39</v>
      </c>
      <c r="D33" s="5"/>
      <c r="E33" s="5"/>
      <c r="F33" s="5"/>
    </row>
  </sheetData>
  <mergeCells count="13">
    <mergeCell ref="B5:F5"/>
    <mergeCell ref="B6:F6"/>
    <mergeCell ref="B7:F7"/>
    <mergeCell ref="B8:F8"/>
    <mergeCell ref="B9:F9"/>
    <mergeCell ref="B10:F10"/>
    <mergeCell ref="B11:F11"/>
    <mergeCell ref="C28:F28"/>
    <mergeCell ref="C29:F29"/>
    <mergeCell ref="C30:F30"/>
    <mergeCell ref="C31:F31"/>
    <mergeCell ref="C32:F32"/>
    <mergeCell ref="C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11" min="9" style="0" width="40"/>
    <col collapsed="false" customWidth="true" hidden="false" outlineLevel="0" max="12" min="12" style="0" width="20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28" t="s">
        <v>42</v>
      </c>
      <c r="B4" s="28" t="s">
        <v>11</v>
      </c>
      <c r="C4" s="28" t="s">
        <v>43</v>
      </c>
      <c r="D4" s="28" t="s">
        <v>44</v>
      </c>
      <c r="E4" s="28" t="s">
        <v>45</v>
      </c>
      <c r="F4" s="28" t="s">
        <v>46</v>
      </c>
      <c r="G4" s="28" t="s">
        <v>47</v>
      </c>
      <c r="H4" s="28" t="s">
        <v>48</v>
      </c>
      <c r="I4" s="28" t="s">
        <v>49</v>
      </c>
      <c r="J4" s="28" t="s">
        <v>50</v>
      </c>
      <c r="K4" s="28" t="s">
        <v>51</v>
      </c>
      <c r="L4" s="28" t="s">
        <v>52</v>
      </c>
      <c r="M4" s="28" t="s">
        <v>53</v>
      </c>
    </row>
    <row r="5" customFormat="false" ht="23.85" hidden="false" customHeight="false" outlineLevel="0" collapsed="false">
      <c r="A5" s="29" t="s">
        <v>54</v>
      </c>
      <c r="B5" s="30" t="s">
        <v>16</v>
      </c>
      <c r="C5" s="30" t="s">
        <v>55</v>
      </c>
      <c r="D5" s="30" t="s">
        <v>56</v>
      </c>
      <c r="E5" s="30" t="s">
        <v>57</v>
      </c>
      <c r="F5" s="30" t="s">
        <v>58</v>
      </c>
      <c r="G5" s="30" t="s">
        <v>59</v>
      </c>
      <c r="H5" s="30" t="s">
        <v>60</v>
      </c>
      <c r="I5" s="30" t="s">
        <v>61</v>
      </c>
      <c r="J5" s="30" t="s">
        <v>62</v>
      </c>
      <c r="K5" s="30" t="s">
        <v>63</v>
      </c>
      <c r="L5" s="30" t="s">
        <v>64</v>
      </c>
      <c r="M5" s="29" t="s">
        <v>15</v>
      </c>
    </row>
    <row r="6" customFormat="false" ht="23.85" hidden="false" customHeight="false" outlineLevel="0" collapsed="false">
      <c r="A6" s="29" t="s">
        <v>65</v>
      </c>
      <c r="B6" s="30" t="s">
        <v>16</v>
      </c>
      <c r="C6" s="30" t="s">
        <v>66</v>
      </c>
      <c r="D6" s="30" t="s">
        <v>67</v>
      </c>
      <c r="E6" s="30" t="s">
        <v>68</v>
      </c>
      <c r="F6" s="30" t="s">
        <v>69</v>
      </c>
      <c r="G6" s="30" t="s">
        <v>59</v>
      </c>
      <c r="H6" s="30" t="s">
        <v>60</v>
      </c>
      <c r="I6" s="30" t="s">
        <v>70</v>
      </c>
      <c r="J6" s="30" t="s">
        <v>71</v>
      </c>
      <c r="K6" s="30" t="s">
        <v>72</v>
      </c>
      <c r="L6" s="30" t="s">
        <v>64</v>
      </c>
      <c r="M6" s="29" t="s">
        <v>15</v>
      </c>
    </row>
    <row r="7" customFormat="false" ht="23.85" hidden="false" customHeight="false" outlineLevel="0" collapsed="false">
      <c r="A7" s="29" t="s">
        <v>73</v>
      </c>
      <c r="B7" s="30" t="s">
        <v>16</v>
      </c>
      <c r="C7" s="30" t="s">
        <v>74</v>
      </c>
      <c r="D7" s="30" t="s">
        <v>75</v>
      </c>
      <c r="E7" s="30" t="s">
        <v>76</v>
      </c>
      <c r="F7" s="30" t="s">
        <v>77</v>
      </c>
      <c r="G7" s="30" t="s">
        <v>59</v>
      </c>
      <c r="H7" s="30" t="s">
        <v>60</v>
      </c>
      <c r="I7" s="30" t="s">
        <v>78</v>
      </c>
      <c r="J7" s="30" t="s">
        <v>79</v>
      </c>
      <c r="K7" s="30" t="s">
        <v>80</v>
      </c>
      <c r="L7" s="30" t="s">
        <v>64</v>
      </c>
      <c r="M7" s="29" t="s">
        <v>15</v>
      </c>
    </row>
    <row r="8" customFormat="false" ht="23.85" hidden="false" customHeight="false" outlineLevel="0" collapsed="false">
      <c r="A8" s="29" t="s">
        <v>81</v>
      </c>
      <c r="B8" s="30" t="s">
        <v>16</v>
      </c>
      <c r="C8" s="30" t="s">
        <v>82</v>
      </c>
      <c r="D8" s="30" t="s">
        <v>83</v>
      </c>
      <c r="E8" s="30" t="s">
        <v>84</v>
      </c>
      <c r="F8" s="30" t="s">
        <v>85</v>
      </c>
      <c r="G8" s="30" t="s">
        <v>59</v>
      </c>
      <c r="H8" s="30" t="s">
        <v>60</v>
      </c>
      <c r="I8" s="30" t="s">
        <v>86</v>
      </c>
      <c r="J8" s="30" t="s">
        <v>87</v>
      </c>
      <c r="K8" s="30" t="s">
        <v>88</v>
      </c>
      <c r="L8" s="30" t="s">
        <v>64</v>
      </c>
      <c r="M8" s="29" t="s">
        <v>14</v>
      </c>
    </row>
    <row r="9" customFormat="false" ht="23.85" hidden="false" customHeight="false" outlineLevel="0" collapsed="false">
      <c r="A9" s="29" t="s">
        <v>89</v>
      </c>
      <c r="B9" s="30" t="s">
        <v>16</v>
      </c>
      <c r="C9" s="30" t="s">
        <v>90</v>
      </c>
      <c r="D9" s="30" t="s">
        <v>91</v>
      </c>
      <c r="E9" s="30" t="s">
        <v>92</v>
      </c>
      <c r="F9" s="30" t="s">
        <v>93</v>
      </c>
      <c r="G9" s="30" t="s">
        <v>59</v>
      </c>
      <c r="H9" s="30" t="s">
        <v>60</v>
      </c>
      <c r="I9" s="30" t="s">
        <v>94</v>
      </c>
      <c r="J9" s="30" t="s">
        <v>95</v>
      </c>
      <c r="K9" s="30" t="s">
        <v>96</v>
      </c>
      <c r="L9" s="30" t="s">
        <v>64</v>
      </c>
      <c r="M9" s="29" t="s">
        <v>14</v>
      </c>
    </row>
    <row r="10" customFormat="false" ht="23.85" hidden="false" customHeight="false" outlineLevel="0" collapsed="false">
      <c r="A10" s="29" t="s">
        <v>97</v>
      </c>
      <c r="B10" s="30" t="s">
        <v>16</v>
      </c>
      <c r="C10" s="30" t="s">
        <v>98</v>
      </c>
      <c r="D10" s="30" t="s">
        <v>99</v>
      </c>
      <c r="E10" s="30" t="s">
        <v>100</v>
      </c>
      <c r="F10" s="30" t="s">
        <v>101</v>
      </c>
      <c r="G10" s="30" t="s">
        <v>59</v>
      </c>
      <c r="H10" s="30" t="s">
        <v>60</v>
      </c>
      <c r="I10" s="30" t="s">
        <v>102</v>
      </c>
      <c r="J10" s="30" t="s">
        <v>103</v>
      </c>
      <c r="K10" s="30" t="s">
        <v>104</v>
      </c>
      <c r="L10" s="30" t="s">
        <v>64</v>
      </c>
      <c r="M10" s="29" t="s">
        <v>15</v>
      </c>
    </row>
    <row r="11" customFormat="false" ht="23.85" hidden="false" customHeight="false" outlineLevel="0" collapsed="false">
      <c r="A11" s="29" t="s">
        <v>105</v>
      </c>
      <c r="B11" s="30" t="s">
        <v>16</v>
      </c>
      <c r="C11" s="30" t="s">
        <v>106</v>
      </c>
      <c r="D11" s="30" t="s">
        <v>107</v>
      </c>
      <c r="E11" s="30" t="s">
        <v>108</v>
      </c>
      <c r="F11" s="30" t="s">
        <v>109</v>
      </c>
      <c r="G11" s="30" t="s">
        <v>59</v>
      </c>
      <c r="H11" s="30" t="s">
        <v>60</v>
      </c>
      <c r="I11" s="30" t="s">
        <v>110</v>
      </c>
      <c r="J11" s="30" t="s">
        <v>111</v>
      </c>
      <c r="K11" s="30" t="s">
        <v>112</v>
      </c>
      <c r="L11" s="30" t="s">
        <v>64</v>
      </c>
      <c r="M11" s="29" t="s">
        <v>15</v>
      </c>
    </row>
    <row r="12" customFormat="false" ht="23.85" hidden="false" customHeight="false" outlineLevel="0" collapsed="false">
      <c r="A12" s="31" t="s">
        <v>113</v>
      </c>
      <c r="B12" s="32" t="s">
        <v>17</v>
      </c>
      <c r="C12" s="32" t="s">
        <v>114</v>
      </c>
      <c r="D12" s="32" t="s">
        <v>115</v>
      </c>
      <c r="E12" s="32" t="s">
        <v>116</v>
      </c>
      <c r="F12" s="32" t="s">
        <v>117</v>
      </c>
      <c r="G12" s="32" t="s">
        <v>118</v>
      </c>
      <c r="H12" s="32" t="s">
        <v>119</v>
      </c>
      <c r="I12" s="32" t="s">
        <v>120</v>
      </c>
      <c r="J12" s="32" t="s">
        <v>121</v>
      </c>
      <c r="K12" s="32" t="s">
        <v>122</v>
      </c>
      <c r="L12" s="32" t="s">
        <v>123</v>
      </c>
      <c r="M12" s="31" t="s">
        <v>14</v>
      </c>
    </row>
    <row r="13" customFormat="false" ht="23.85" hidden="false" customHeight="false" outlineLevel="0" collapsed="false">
      <c r="A13" s="31" t="s">
        <v>124</v>
      </c>
      <c r="B13" s="32" t="s">
        <v>17</v>
      </c>
      <c r="C13" s="32" t="s">
        <v>125</v>
      </c>
      <c r="D13" s="32" t="s">
        <v>126</v>
      </c>
      <c r="E13" s="32" t="s">
        <v>127</v>
      </c>
      <c r="F13" s="32" t="s">
        <v>128</v>
      </c>
      <c r="G13" s="32" t="s">
        <v>129</v>
      </c>
      <c r="H13" s="32" t="s">
        <v>119</v>
      </c>
      <c r="I13" s="32" t="s">
        <v>130</v>
      </c>
      <c r="J13" s="32" t="s">
        <v>131</v>
      </c>
      <c r="K13" s="32" t="s">
        <v>132</v>
      </c>
      <c r="L13" s="32" t="s">
        <v>123</v>
      </c>
      <c r="M13" s="31" t="s">
        <v>14</v>
      </c>
    </row>
    <row r="14" customFormat="false" ht="23.85" hidden="false" customHeight="false" outlineLevel="0" collapsed="false">
      <c r="A14" s="31" t="s">
        <v>133</v>
      </c>
      <c r="B14" s="32" t="s">
        <v>17</v>
      </c>
      <c r="C14" s="32" t="s">
        <v>134</v>
      </c>
      <c r="D14" s="32" t="s">
        <v>135</v>
      </c>
      <c r="E14" s="32" t="s">
        <v>136</v>
      </c>
      <c r="F14" s="32" t="s">
        <v>137</v>
      </c>
      <c r="G14" s="32" t="s">
        <v>138</v>
      </c>
      <c r="H14" s="32" t="s">
        <v>139</v>
      </c>
      <c r="I14" s="32" t="s">
        <v>140</v>
      </c>
      <c r="J14" s="32" t="s">
        <v>141</v>
      </c>
      <c r="K14" s="32" t="s">
        <v>142</v>
      </c>
      <c r="L14" s="32" t="s">
        <v>123</v>
      </c>
      <c r="M14" s="31" t="s">
        <v>14</v>
      </c>
    </row>
    <row r="15" customFormat="false" ht="23.85" hidden="false" customHeight="false" outlineLevel="0" collapsed="false">
      <c r="A15" s="31" t="s">
        <v>143</v>
      </c>
      <c r="B15" s="32" t="s">
        <v>17</v>
      </c>
      <c r="C15" s="32" t="s">
        <v>144</v>
      </c>
      <c r="D15" s="32" t="s">
        <v>145</v>
      </c>
      <c r="E15" s="32" t="s">
        <v>146</v>
      </c>
      <c r="F15" s="32" t="s">
        <v>147</v>
      </c>
      <c r="G15" s="32" t="s">
        <v>148</v>
      </c>
      <c r="H15" s="32" t="s">
        <v>139</v>
      </c>
      <c r="I15" s="32" t="s">
        <v>149</v>
      </c>
      <c r="J15" s="32" t="s">
        <v>150</v>
      </c>
      <c r="K15" s="32" t="s">
        <v>151</v>
      </c>
      <c r="L15" s="32" t="s">
        <v>123</v>
      </c>
      <c r="M15" s="31" t="s">
        <v>15</v>
      </c>
    </row>
    <row r="16" customFormat="false" ht="23.85" hidden="false" customHeight="false" outlineLevel="0" collapsed="false">
      <c r="A16" s="31" t="s">
        <v>152</v>
      </c>
      <c r="B16" s="32" t="s">
        <v>17</v>
      </c>
      <c r="C16" s="32" t="s">
        <v>153</v>
      </c>
      <c r="D16" s="32" t="s">
        <v>154</v>
      </c>
      <c r="E16" s="32" t="s">
        <v>155</v>
      </c>
      <c r="F16" s="32" t="s">
        <v>156</v>
      </c>
      <c r="G16" s="32" t="s">
        <v>157</v>
      </c>
      <c r="H16" s="32" t="s">
        <v>158</v>
      </c>
      <c r="I16" s="32" t="s">
        <v>159</v>
      </c>
      <c r="J16" s="32" t="s">
        <v>160</v>
      </c>
      <c r="K16" s="32" t="s">
        <v>161</v>
      </c>
      <c r="L16" s="32" t="s">
        <v>123</v>
      </c>
      <c r="M16" s="31" t="s">
        <v>15</v>
      </c>
    </row>
    <row r="17" customFormat="false" ht="23.85" hidden="false" customHeight="false" outlineLevel="0" collapsed="false">
      <c r="A17" s="31" t="s">
        <v>162</v>
      </c>
      <c r="B17" s="32" t="s">
        <v>17</v>
      </c>
      <c r="C17" s="32" t="s">
        <v>163</v>
      </c>
      <c r="D17" s="32" t="s">
        <v>164</v>
      </c>
      <c r="E17" s="32" t="s">
        <v>165</v>
      </c>
      <c r="F17" s="32" t="s">
        <v>166</v>
      </c>
      <c r="G17" s="32" t="s">
        <v>59</v>
      </c>
      <c r="H17" s="32" t="s">
        <v>167</v>
      </c>
      <c r="I17" s="32" t="s">
        <v>168</v>
      </c>
      <c r="J17" s="32" t="s">
        <v>169</v>
      </c>
      <c r="K17" s="32" t="s">
        <v>170</v>
      </c>
      <c r="L17" s="32" t="s">
        <v>123</v>
      </c>
      <c r="M17" s="31" t="s">
        <v>15</v>
      </c>
    </row>
    <row r="18" customFormat="false" ht="23.85" hidden="false" customHeight="false" outlineLevel="0" collapsed="false">
      <c r="A18" s="33" t="s">
        <v>171</v>
      </c>
      <c r="B18" s="34" t="s">
        <v>18</v>
      </c>
      <c r="C18" s="34" t="s">
        <v>172</v>
      </c>
      <c r="D18" s="34" t="s">
        <v>173</v>
      </c>
      <c r="E18" s="34" t="s">
        <v>174</v>
      </c>
      <c r="F18" s="34" t="s">
        <v>175</v>
      </c>
      <c r="G18" s="34" t="s">
        <v>176</v>
      </c>
      <c r="H18" s="34" t="s">
        <v>139</v>
      </c>
      <c r="I18" s="34" t="s">
        <v>177</v>
      </c>
      <c r="J18" s="34" t="s">
        <v>178</v>
      </c>
      <c r="K18" s="34" t="s">
        <v>179</v>
      </c>
      <c r="L18" s="34" t="s">
        <v>180</v>
      </c>
      <c r="M18" s="33" t="s">
        <v>13</v>
      </c>
    </row>
    <row r="19" customFormat="false" ht="23.85" hidden="false" customHeight="false" outlineLevel="0" collapsed="false">
      <c r="A19" s="33" t="s">
        <v>181</v>
      </c>
      <c r="B19" s="34" t="s">
        <v>18</v>
      </c>
      <c r="C19" s="34" t="s">
        <v>182</v>
      </c>
      <c r="D19" s="34" t="s">
        <v>183</v>
      </c>
      <c r="E19" s="34" t="s">
        <v>184</v>
      </c>
      <c r="F19" s="34" t="s">
        <v>185</v>
      </c>
      <c r="G19" s="34" t="s">
        <v>186</v>
      </c>
      <c r="H19" s="34" t="s">
        <v>139</v>
      </c>
      <c r="I19" s="34" t="s">
        <v>187</v>
      </c>
      <c r="J19" s="34" t="s">
        <v>188</v>
      </c>
      <c r="K19" s="34" t="s">
        <v>189</v>
      </c>
      <c r="L19" s="34" t="s">
        <v>180</v>
      </c>
      <c r="M19" s="33" t="s">
        <v>13</v>
      </c>
    </row>
    <row r="20" customFormat="false" ht="23.85" hidden="false" customHeight="false" outlineLevel="0" collapsed="false">
      <c r="A20" s="33" t="s">
        <v>190</v>
      </c>
      <c r="B20" s="34" t="s">
        <v>18</v>
      </c>
      <c r="C20" s="34" t="s">
        <v>191</v>
      </c>
      <c r="D20" s="34" t="s">
        <v>192</v>
      </c>
      <c r="E20" s="34" t="s">
        <v>193</v>
      </c>
      <c r="F20" s="34" t="s">
        <v>194</v>
      </c>
      <c r="G20" s="34" t="s">
        <v>59</v>
      </c>
      <c r="H20" s="34" t="s">
        <v>139</v>
      </c>
      <c r="I20" s="34" t="s">
        <v>195</v>
      </c>
      <c r="J20" s="34" t="s">
        <v>196</v>
      </c>
      <c r="K20" s="34" t="s">
        <v>197</v>
      </c>
      <c r="L20" s="34" t="s">
        <v>180</v>
      </c>
      <c r="M20" s="33" t="s">
        <v>15</v>
      </c>
    </row>
    <row r="21" customFormat="false" ht="23.85" hidden="false" customHeight="false" outlineLevel="0" collapsed="false">
      <c r="A21" s="33" t="s">
        <v>198</v>
      </c>
      <c r="B21" s="34" t="s">
        <v>18</v>
      </c>
      <c r="C21" s="34" t="s">
        <v>199</v>
      </c>
      <c r="D21" s="34" t="s">
        <v>200</v>
      </c>
      <c r="E21" s="34" t="s">
        <v>201</v>
      </c>
      <c r="F21" s="34" t="s">
        <v>202</v>
      </c>
      <c r="G21" s="34" t="s">
        <v>203</v>
      </c>
      <c r="H21" s="34" t="s">
        <v>139</v>
      </c>
      <c r="I21" s="34" t="s">
        <v>204</v>
      </c>
      <c r="J21" s="34" t="s">
        <v>205</v>
      </c>
      <c r="K21" s="34" t="s">
        <v>206</v>
      </c>
      <c r="L21" s="34" t="s">
        <v>180</v>
      </c>
      <c r="M21" s="33" t="s">
        <v>13</v>
      </c>
    </row>
    <row r="22" customFormat="false" ht="23.85" hidden="false" customHeight="false" outlineLevel="0" collapsed="false">
      <c r="A22" s="33" t="s">
        <v>207</v>
      </c>
      <c r="B22" s="34" t="s">
        <v>18</v>
      </c>
      <c r="C22" s="34" t="s">
        <v>208</v>
      </c>
      <c r="D22" s="34" t="s">
        <v>209</v>
      </c>
      <c r="E22" s="34" t="s">
        <v>210</v>
      </c>
      <c r="F22" s="34" t="s">
        <v>211</v>
      </c>
      <c r="G22" s="34" t="s">
        <v>59</v>
      </c>
      <c r="H22" s="34" t="s">
        <v>139</v>
      </c>
      <c r="I22" s="34" t="s">
        <v>212</v>
      </c>
      <c r="J22" s="34" t="s">
        <v>213</v>
      </c>
      <c r="K22" s="34" t="s">
        <v>214</v>
      </c>
      <c r="L22" s="34" t="s">
        <v>180</v>
      </c>
      <c r="M22" s="33" t="s">
        <v>14</v>
      </c>
    </row>
    <row r="23" customFormat="false" ht="23.85" hidden="false" customHeight="false" outlineLevel="0" collapsed="false">
      <c r="A23" s="33" t="s">
        <v>215</v>
      </c>
      <c r="B23" s="34" t="s">
        <v>18</v>
      </c>
      <c r="C23" s="34" t="s">
        <v>216</v>
      </c>
      <c r="D23" s="34" t="s">
        <v>217</v>
      </c>
      <c r="E23" s="34" t="s">
        <v>218</v>
      </c>
      <c r="F23" s="34" t="s">
        <v>219</v>
      </c>
      <c r="G23" s="34" t="s">
        <v>59</v>
      </c>
      <c r="H23" s="34" t="s">
        <v>139</v>
      </c>
      <c r="I23" s="34" t="s">
        <v>220</v>
      </c>
      <c r="J23" s="34" t="s">
        <v>221</v>
      </c>
      <c r="K23" s="34" t="s">
        <v>222</v>
      </c>
      <c r="L23" s="34" t="s">
        <v>180</v>
      </c>
      <c r="M23" s="33" t="s">
        <v>15</v>
      </c>
    </row>
    <row r="24" customFormat="false" ht="23.85" hidden="false" customHeight="false" outlineLevel="0" collapsed="false">
      <c r="A24" s="33" t="s">
        <v>223</v>
      </c>
      <c r="B24" s="34" t="s">
        <v>18</v>
      </c>
      <c r="C24" s="34" t="s">
        <v>224</v>
      </c>
      <c r="D24" s="34" t="s">
        <v>225</v>
      </c>
      <c r="E24" s="34" t="s">
        <v>226</v>
      </c>
      <c r="F24" s="34" t="s">
        <v>227</v>
      </c>
      <c r="G24" s="34" t="s">
        <v>59</v>
      </c>
      <c r="H24" s="34" t="s">
        <v>139</v>
      </c>
      <c r="I24" s="34" t="s">
        <v>228</v>
      </c>
      <c r="J24" s="34" t="s">
        <v>229</v>
      </c>
      <c r="K24" s="34" t="s">
        <v>230</v>
      </c>
      <c r="L24" s="34" t="s">
        <v>180</v>
      </c>
      <c r="M24" s="33" t="s">
        <v>15</v>
      </c>
    </row>
    <row r="25" customFormat="false" ht="23.85" hidden="false" customHeight="false" outlineLevel="0" collapsed="false">
      <c r="A25" s="33" t="s">
        <v>231</v>
      </c>
      <c r="B25" s="34" t="s">
        <v>18</v>
      </c>
      <c r="C25" s="34" t="s">
        <v>232</v>
      </c>
      <c r="D25" s="34" t="s">
        <v>233</v>
      </c>
      <c r="E25" s="34" t="s">
        <v>234</v>
      </c>
      <c r="F25" s="34" t="s">
        <v>235</v>
      </c>
      <c r="G25" s="34" t="s">
        <v>59</v>
      </c>
      <c r="H25" s="34" t="s">
        <v>139</v>
      </c>
      <c r="I25" s="34" t="s">
        <v>236</v>
      </c>
      <c r="J25" s="34" t="s">
        <v>237</v>
      </c>
      <c r="K25" s="34" t="s">
        <v>238</v>
      </c>
      <c r="L25" s="34" t="s">
        <v>180</v>
      </c>
      <c r="M25" s="33" t="s">
        <v>15</v>
      </c>
    </row>
    <row r="26" customFormat="false" ht="23.85" hidden="false" customHeight="false" outlineLevel="0" collapsed="false">
      <c r="A26" s="35" t="s">
        <v>239</v>
      </c>
      <c r="B26" s="36" t="s">
        <v>19</v>
      </c>
      <c r="C26" s="36" t="s">
        <v>240</v>
      </c>
      <c r="D26" s="36" t="s">
        <v>241</v>
      </c>
      <c r="E26" s="36" t="s">
        <v>242</v>
      </c>
      <c r="F26" s="36" t="s">
        <v>243</v>
      </c>
      <c r="G26" s="36" t="s">
        <v>244</v>
      </c>
      <c r="H26" s="36" t="s">
        <v>139</v>
      </c>
      <c r="I26" s="36" t="s">
        <v>245</v>
      </c>
      <c r="J26" s="36" t="s">
        <v>246</v>
      </c>
      <c r="K26" s="36" t="s">
        <v>247</v>
      </c>
      <c r="L26" s="36" t="s">
        <v>248</v>
      </c>
      <c r="M26" s="35" t="s">
        <v>15</v>
      </c>
    </row>
    <row r="27" customFormat="false" ht="23.85" hidden="false" customHeight="false" outlineLevel="0" collapsed="false">
      <c r="A27" s="35" t="s">
        <v>249</v>
      </c>
      <c r="B27" s="36" t="s">
        <v>19</v>
      </c>
      <c r="C27" s="36" t="s">
        <v>250</v>
      </c>
      <c r="D27" s="36" t="s">
        <v>251</v>
      </c>
      <c r="E27" s="36" t="s">
        <v>252</v>
      </c>
      <c r="F27" s="36" t="s">
        <v>253</v>
      </c>
      <c r="G27" s="36" t="s">
        <v>59</v>
      </c>
      <c r="H27" s="36" t="s">
        <v>139</v>
      </c>
      <c r="I27" s="36" t="s">
        <v>254</v>
      </c>
      <c r="J27" s="36" t="s">
        <v>255</v>
      </c>
      <c r="K27" s="36" t="s">
        <v>256</v>
      </c>
      <c r="L27" s="36" t="s">
        <v>248</v>
      </c>
      <c r="M27" s="35" t="s">
        <v>15</v>
      </c>
    </row>
    <row r="28" customFormat="false" ht="23.85" hidden="false" customHeight="false" outlineLevel="0" collapsed="false">
      <c r="A28" s="35" t="s">
        <v>257</v>
      </c>
      <c r="B28" s="36" t="s">
        <v>19</v>
      </c>
      <c r="C28" s="36" t="s">
        <v>258</v>
      </c>
      <c r="D28" s="36" t="s">
        <v>259</v>
      </c>
      <c r="E28" s="36" t="s">
        <v>260</v>
      </c>
      <c r="F28" s="36" t="s">
        <v>261</v>
      </c>
      <c r="G28" s="36" t="s">
        <v>262</v>
      </c>
      <c r="H28" s="36" t="s">
        <v>139</v>
      </c>
      <c r="I28" s="36" t="s">
        <v>263</v>
      </c>
      <c r="J28" s="36" t="s">
        <v>264</v>
      </c>
      <c r="K28" s="36" t="s">
        <v>265</v>
      </c>
      <c r="L28" s="36" t="s">
        <v>248</v>
      </c>
      <c r="M28" s="35" t="s">
        <v>15</v>
      </c>
    </row>
    <row r="29" customFormat="false" ht="23.85" hidden="false" customHeight="false" outlineLevel="0" collapsed="false">
      <c r="A29" s="35" t="s">
        <v>266</v>
      </c>
      <c r="B29" s="36" t="s">
        <v>19</v>
      </c>
      <c r="C29" s="36" t="s">
        <v>267</v>
      </c>
      <c r="D29" s="36" t="s">
        <v>268</v>
      </c>
      <c r="E29" s="36" t="s">
        <v>269</v>
      </c>
      <c r="F29" s="36" t="s">
        <v>270</v>
      </c>
      <c r="G29" s="36" t="s">
        <v>271</v>
      </c>
      <c r="H29" s="36" t="s">
        <v>139</v>
      </c>
      <c r="I29" s="36" t="s">
        <v>272</v>
      </c>
      <c r="J29" s="36" t="s">
        <v>273</v>
      </c>
      <c r="K29" s="36" t="s">
        <v>274</v>
      </c>
      <c r="L29" s="36" t="s">
        <v>275</v>
      </c>
      <c r="M29" s="35" t="s">
        <v>15</v>
      </c>
    </row>
    <row r="30" customFormat="false" ht="23.85" hidden="false" customHeight="false" outlineLevel="0" collapsed="false">
      <c r="A30" s="35" t="s">
        <v>276</v>
      </c>
      <c r="B30" s="36" t="s">
        <v>19</v>
      </c>
      <c r="C30" s="36" t="s">
        <v>277</v>
      </c>
      <c r="D30" s="36" t="s">
        <v>278</v>
      </c>
      <c r="E30" s="36" t="s">
        <v>279</v>
      </c>
      <c r="F30" s="36" t="s">
        <v>280</v>
      </c>
      <c r="G30" s="36" t="s">
        <v>59</v>
      </c>
      <c r="H30" s="36" t="s">
        <v>139</v>
      </c>
      <c r="I30" s="36" t="s">
        <v>281</v>
      </c>
      <c r="J30" s="36" t="s">
        <v>282</v>
      </c>
      <c r="K30" s="36" t="s">
        <v>283</v>
      </c>
      <c r="L30" s="36" t="s">
        <v>275</v>
      </c>
      <c r="M30" s="35" t="s">
        <v>15</v>
      </c>
    </row>
    <row r="31" customFormat="false" ht="23.85" hidden="false" customHeight="false" outlineLevel="0" collapsed="false">
      <c r="A31" s="35" t="s">
        <v>284</v>
      </c>
      <c r="B31" s="36" t="s">
        <v>19</v>
      </c>
      <c r="C31" s="36" t="s">
        <v>285</v>
      </c>
      <c r="D31" s="36" t="s">
        <v>286</v>
      </c>
      <c r="E31" s="36" t="s">
        <v>287</v>
      </c>
      <c r="F31" s="36" t="s">
        <v>288</v>
      </c>
      <c r="G31" s="36" t="s">
        <v>59</v>
      </c>
      <c r="H31" s="36" t="s">
        <v>139</v>
      </c>
      <c r="I31" s="36" t="s">
        <v>289</v>
      </c>
      <c r="J31" s="36" t="s">
        <v>290</v>
      </c>
      <c r="K31" s="36" t="s">
        <v>291</v>
      </c>
      <c r="L31" s="36" t="s">
        <v>275</v>
      </c>
      <c r="M31" s="35" t="s">
        <v>15</v>
      </c>
    </row>
    <row r="32" customFormat="false" ht="23.85" hidden="false" customHeight="false" outlineLevel="0" collapsed="false">
      <c r="A32" s="35" t="s">
        <v>292</v>
      </c>
      <c r="B32" s="36" t="s">
        <v>19</v>
      </c>
      <c r="C32" s="36" t="s">
        <v>293</v>
      </c>
      <c r="D32" s="36" t="s">
        <v>294</v>
      </c>
      <c r="E32" s="36" t="s">
        <v>295</v>
      </c>
      <c r="F32" s="36" t="s">
        <v>296</v>
      </c>
      <c r="G32" s="36" t="s">
        <v>297</v>
      </c>
      <c r="H32" s="36" t="s">
        <v>139</v>
      </c>
      <c r="I32" s="36" t="s">
        <v>298</v>
      </c>
      <c r="J32" s="36" t="s">
        <v>299</v>
      </c>
      <c r="K32" s="36" t="s">
        <v>222</v>
      </c>
      <c r="L32" s="36" t="s">
        <v>275</v>
      </c>
      <c r="M32" s="35" t="s">
        <v>15</v>
      </c>
    </row>
    <row r="33" customFormat="false" ht="23.85" hidden="false" customHeight="false" outlineLevel="0" collapsed="false">
      <c r="A33" s="37" t="s">
        <v>300</v>
      </c>
      <c r="B33" s="38" t="s">
        <v>20</v>
      </c>
      <c r="C33" s="38" t="s">
        <v>301</v>
      </c>
      <c r="D33" s="38" t="s">
        <v>302</v>
      </c>
      <c r="E33" s="38" t="s">
        <v>303</v>
      </c>
      <c r="F33" s="38" t="s">
        <v>304</v>
      </c>
      <c r="G33" s="38" t="s">
        <v>59</v>
      </c>
      <c r="H33" s="38" t="s">
        <v>139</v>
      </c>
      <c r="I33" s="38" t="s">
        <v>305</v>
      </c>
      <c r="J33" s="38" t="s">
        <v>306</v>
      </c>
      <c r="K33" s="38" t="s">
        <v>307</v>
      </c>
      <c r="L33" s="38" t="s">
        <v>308</v>
      </c>
      <c r="M33" s="37" t="s">
        <v>14</v>
      </c>
    </row>
    <row r="34" customFormat="false" ht="23.85" hidden="false" customHeight="false" outlineLevel="0" collapsed="false">
      <c r="A34" s="37" t="s">
        <v>309</v>
      </c>
      <c r="B34" s="38" t="s">
        <v>20</v>
      </c>
      <c r="C34" s="38" t="s">
        <v>310</v>
      </c>
      <c r="D34" s="38" t="s">
        <v>311</v>
      </c>
      <c r="E34" s="38" t="s">
        <v>312</v>
      </c>
      <c r="F34" s="38" t="s">
        <v>313</v>
      </c>
      <c r="G34" s="38" t="s">
        <v>59</v>
      </c>
      <c r="H34" s="38" t="s">
        <v>139</v>
      </c>
      <c r="I34" s="38" t="s">
        <v>314</v>
      </c>
      <c r="J34" s="38" t="s">
        <v>315</v>
      </c>
      <c r="K34" s="38" t="s">
        <v>316</v>
      </c>
      <c r="L34" s="38" t="s">
        <v>308</v>
      </c>
      <c r="M34" s="37" t="s">
        <v>14</v>
      </c>
    </row>
    <row r="35" customFormat="false" ht="23.85" hidden="false" customHeight="false" outlineLevel="0" collapsed="false">
      <c r="A35" s="37" t="s">
        <v>317</v>
      </c>
      <c r="B35" s="38" t="s">
        <v>20</v>
      </c>
      <c r="C35" s="38" t="s">
        <v>318</v>
      </c>
      <c r="D35" s="38" t="s">
        <v>319</v>
      </c>
      <c r="E35" s="38" t="s">
        <v>320</v>
      </c>
      <c r="F35" s="38" t="s">
        <v>321</v>
      </c>
      <c r="G35" s="38" t="s">
        <v>59</v>
      </c>
      <c r="H35" s="38" t="s">
        <v>139</v>
      </c>
      <c r="I35" s="38" t="s">
        <v>322</v>
      </c>
      <c r="J35" s="38" t="s">
        <v>323</v>
      </c>
      <c r="K35" s="38" t="s">
        <v>324</v>
      </c>
      <c r="L35" s="38" t="s">
        <v>308</v>
      </c>
      <c r="M35" s="37" t="s">
        <v>14</v>
      </c>
    </row>
    <row r="36" customFormat="false" ht="23.85" hidden="false" customHeight="false" outlineLevel="0" collapsed="false">
      <c r="A36" s="37" t="s">
        <v>325</v>
      </c>
      <c r="B36" s="38" t="s">
        <v>20</v>
      </c>
      <c r="C36" s="38" t="s">
        <v>326</v>
      </c>
      <c r="D36" s="38" t="s">
        <v>327</v>
      </c>
      <c r="E36" s="38" t="s">
        <v>328</v>
      </c>
      <c r="F36" s="38" t="s">
        <v>329</v>
      </c>
      <c r="G36" s="38" t="s">
        <v>59</v>
      </c>
      <c r="H36" s="38" t="s">
        <v>139</v>
      </c>
      <c r="I36" s="38" t="s">
        <v>330</v>
      </c>
      <c r="J36" s="38" t="s">
        <v>331</v>
      </c>
      <c r="K36" s="38" t="s">
        <v>222</v>
      </c>
      <c r="L36" s="38" t="s">
        <v>308</v>
      </c>
      <c r="M36" s="37" t="s">
        <v>15</v>
      </c>
    </row>
    <row r="37" customFormat="false" ht="23.85" hidden="false" customHeight="false" outlineLevel="0" collapsed="false">
      <c r="A37" s="37" t="s">
        <v>332</v>
      </c>
      <c r="B37" s="38" t="s">
        <v>20</v>
      </c>
      <c r="C37" s="38" t="s">
        <v>333</v>
      </c>
      <c r="D37" s="38" t="s">
        <v>334</v>
      </c>
      <c r="E37" s="38" t="s">
        <v>335</v>
      </c>
      <c r="F37" s="38" t="s">
        <v>336</v>
      </c>
      <c r="G37" s="38" t="s">
        <v>59</v>
      </c>
      <c r="H37" s="38" t="s">
        <v>139</v>
      </c>
      <c r="I37" s="38" t="s">
        <v>337</v>
      </c>
      <c r="J37" s="38" t="s">
        <v>338</v>
      </c>
      <c r="K37" s="38" t="s">
        <v>339</v>
      </c>
      <c r="L37" s="38" t="s">
        <v>308</v>
      </c>
      <c r="M37" s="37" t="s">
        <v>15</v>
      </c>
    </row>
    <row r="38" customFormat="false" ht="23.85" hidden="false" customHeight="false" outlineLevel="0" collapsed="false">
      <c r="A38" s="37" t="s">
        <v>340</v>
      </c>
      <c r="B38" s="38" t="s">
        <v>20</v>
      </c>
      <c r="C38" s="38" t="s">
        <v>341</v>
      </c>
      <c r="D38" s="38" t="s">
        <v>342</v>
      </c>
      <c r="E38" s="38" t="s">
        <v>343</v>
      </c>
      <c r="F38" s="38" t="s">
        <v>344</v>
      </c>
      <c r="G38" s="38" t="s">
        <v>59</v>
      </c>
      <c r="H38" s="38" t="s">
        <v>139</v>
      </c>
      <c r="I38" s="38" t="s">
        <v>345</v>
      </c>
      <c r="J38" s="38" t="s">
        <v>346</v>
      </c>
      <c r="K38" s="38" t="s">
        <v>347</v>
      </c>
      <c r="L38" s="38" t="s">
        <v>308</v>
      </c>
      <c r="M38" s="37" t="s">
        <v>15</v>
      </c>
    </row>
    <row r="39" customFormat="false" ht="23.85" hidden="false" customHeight="false" outlineLevel="0" collapsed="false">
      <c r="A39" s="39" t="s">
        <v>348</v>
      </c>
      <c r="B39" s="40" t="s">
        <v>21</v>
      </c>
      <c r="C39" s="40" t="s">
        <v>349</v>
      </c>
      <c r="D39" s="40" t="s">
        <v>350</v>
      </c>
      <c r="E39" s="40" t="s">
        <v>351</v>
      </c>
      <c r="F39" s="40" t="s">
        <v>352</v>
      </c>
      <c r="G39" s="40" t="s">
        <v>59</v>
      </c>
      <c r="H39" s="40" t="s">
        <v>139</v>
      </c>
      <c r="I39" s="40" t="s">
        <v>353</v>
      </c>
      <c r="J39" s="40" t="s">
        <v>354</v>
      </c>
      <c r="K39" s="40" t="s">
        <v>355</v>
      </c>
      <c r="L39" s="40" t="s">
        <v>356</v>
      </c>
      <c r="M39" s="39" t="s">
        <v>15</v>
      </c>
    </row>
    <row r="40" customFormat="false" ht="23.85" hidden="false" customHeight="false" outlineLevel="0" collapsed="false">
      <c r="A40" s="39" t="s">
        <v>357</v>
      </c>
      <c r="B40" s="40" t="s">
        <v>21</v>
      </c>
      <c r="C40" s="40" t="s">
        <v>358</v>
      </c>
      <c r="D40" s="40" t="s">
        <v>359</v>
      </c>
      <c r="E40" s="40" t="s">
        <v>360</v>
      </c>
      <c r="F40" s="40" t="s">
        <v>361</v>
      </c>
      <c r="G40" s="40" t="s">
        <v>59</v>
      </c>
      <c r="H40" s="40" t="s">
        <v>139</v>
      </c>
      <c r="I40" s="40" t="s">
        <v>362</v>
      </c>
      <c r="J40" s="40" t="s">
        <v>363</v>
      </c>
      <c r="K40" s="40" t="s">
        <v>364</v>
      </c>
      <c r="L40" s="40" t="s">
        <v>356</v>
      </c>
      <c r="M40" s="39" t="s">
        <v>15</v>
      </c>
    </row>
    <row r="41" customFormat="false" ht="23.85" hidden="false" customHeight="false" outlineLevel="0" collapsed="false">
      <c r="A41" s="39" t="s">
        <v>365</v>
      </c>
      <c r="B41" s="40" t="s">
        <v>21</v>
      </c>
      <c r="C41" s="40" t="s">
        <v>366</v>
      </c>
      <c r="D41" s="40" t="s">
        <v>367</v>
      </c>
      <c r="E41" s="40" t="s">
        <v>368</v>
      </c>
      <c r="F41" s="40" t="s">
        <v>369</v>
      </c>
      <c r="G41" s="40" t="s">
        <v>59</v>
      </c>
      <c r="H41" s="40" t="s">
        <v>139</v>
      </c>
      <c r="I41" s="40" t="s">
        <v>370</v>
      </c>
      <c r="J41" s="40" t="s">
        <v>371</v>
      </c>
      <c r="K41" s="40" t="s">
        <v>372</v>
      </c>
      <c r="L41" s="40" t="s">
        <v>356</v>
      </c>
      <c r="M41" s="39" t="s">
        <v>14</v>
      </c>
    </row>
    <row r="42" customFormat="false" ht="23.85" hidden="false" customHeight="false" outlineLevel="0" collapsed="false">
      <c r="A42" s="39" t="s">
        <v>373</v>
      </c>
      <c r="B42" s="40" t="s">
        <v>21</v>
      </c>
      <c r="C42" s="40" t="s">
        <v>374</v>
      </c>
      <c r="D42" s="40" t="s">
        <v>375</v>
      </c>
      <c r="E42" s="40" t="s">
        <v>376</v>
      </c>
      <c r="F42" s="40" t="s">
        <v>377</v>
      </c>
      <c r="G42" s="40" t="s">
        <v>59</v>
      </c>
      <c r="H42" s="40" t="s">
        <v>139</v>
      </c>
      <c r="I42" s="40" t="s">
        <v>378</v>
      </c>
      <c r="J42" s="40" t="s">
        <v>379</v>
      </c>
      <c r="K42" s="40" t="s">
        <v>380</v>
      </c>
      <c r="L42" s="40" t="s">
        <v>356</v>
      </c>
      <c r="M42" s="39" t="s">
        <v>14</v>
      </c>
    </row>
    <row r="43" customFormat="false" ht="23.85" hidden="false" customHeight="false" outlineLevel="0" collapsed="false">
      <c r="A43" s="39" t="s">
        <v>381</v>
      </c>
      <c r="B43" s="40" t="s">
        <v>21</v>
      </c>
      <c r="C43" s="40" t="s">
        <v>382</v>
      </c>
      <c r="D43" s="40" t="s">
        <v>383</v>
      </c>
      <c r="E43" s="40" t="s">
        <v>384</v>
      </c>
      <c r="F43" s="40" t="s">
        <v>385</v>
      </c>
      <c r="G43" s="40" t="s">
        <v>59</v>
      </c>
      <c r="H43" s="40" t="s">
        <v>139</v>
      </c>
      <c r="I43" s="40" t="s">
        <v>386</v>
      </c>
      <c r="J43" s="40" t="s">
        <v>387</v>
      </c>
      <c r="K43" s="40" t="s">
        <v>388</v>
      </c>
      <c r="L43" s="40" t="s">
        <v>389</v>
      </c>
      <c r="M43" s="39" t="s">
        <v>15</v>
      </c>
    </row>
    <row r="44" customFormat="false" ht="23.85" hidden="false" customHeight="false" outlineLevel="0" collapsed="false">
      <c r="A44" s="39" t="s">
        <v>390</v>
      </c>
      <c r="B44" s="40" t="s">
        <v>21</v>
      </c>
      <c r="C44" s="40" t="s">
        <v>391</v>
      </c>
      <c r="D44" s="40" t="s">
        <v>392</v>
      </c>
      <c r="E44" s="40" t="s">
        <v>393</v>
      </c>
      <c r="F44" s="40" t="s">
        <v>394</v>
      </c>
      <c r="G44" s="40" t="s">
        <v>59</v>
      </c>
      <c r="H44" s="40" t="s">
        <v>139</v>
      </c>
      <c r="I44" s="40" t="s">
        <v>395</v>
      </c>
      <c r="J44" s="40" t="s">
        <v>396</v>
      </c>
      <c r="K44" s="40" t="s">
        <v>397</v>
      </c>
      <c r="L44" s="40" t="s">
        <v>389</v>
      </c>
      <c r="M44" s="39" t="s">
        <v>15</v>
      </c>
    </row>
    <row r="45" customFormat="false" ht="23.85" hidden="false" customHeight="false" outlineLevel="0" collapsed="false">
      <c r="A45" s="41" t="s">
        <v>398</v>
      </c>
      <c r="B45" s="42" t="s">
        <v>22</v>
      </c>
      <c r="C45" s="42" t="s">
        <v>399</v>
      </c>
      <c r="D45" s="42" t="s">
        <v>400</v>
      </c>
      <c r="E45" s="42" t="s">
        <v>401</v>
      </c>
      <c r="F45" s="42" t="s">
        <v>402</v>
      </c>
      <c r="G45" s="42" t="s">
        <v>403</v>
      </c>
      <c r="H45" s="42" t="s">
        <v>404</v>
      </c>
      <c r="I45" s="42" t="s">
        <v>405</v>
      </c>
      <c r="J45" s="42" t="s">
        <v>406</v>
      </c>
      <c r="K45" s="42" t="s">
        <v>407</v>
      </c>
      <c r="L45" s="42" t="s">
        <v>408</v>
      </c>
      <c r="M45" s="41" t="s">
        <v>14</v>
      </c>
    </row>
    <row r="46" customFormat="false" ht="23.85" hidden="false" customHeight="false" outlineLevel="0" collapsed="false">
      <c r="A46" s="43" t="s">
        <v>409</v>
      </c>
      <c r="B46" s="44" t="s">
        <v>23</v>
      </c>
      <c r="C46" s="44" t="s">
        <v>410</v>
      </c>
      <c r="D46" s="44" t="s">
        <v>411</v>
      </c>
      <c r="E46" s="44" t="s">
        <v>412</v>
      </c>
      <c r="F46" s="44" t="s">
        <v>413</v>
      </c>
      <c r="G46" s="44" t="s">
        <v>59</v>
      </c>
      <c r="H46" s="44" t="s">
        <v>414</v>
      </c>
      <c r="I46" s="44" t="s">
        <v>415</v>
      </c>
      <c r="J46" s="44" t="s">
        <v>416</v>
      </c>
      <c r="K46" s="44" t="s">
        <v>417</v>
      </c>
      <c r="L46" s="44" t="s">
        <v>418</v>
      </c>
      <c r="M46" s="43" t="s">
        <v>15</v>
      </c>
    </row>
  </sheetData>
  <autoFilter ref="A4:M46"/>
  <conditionalFormatting sqref="M5:M46">
    <cfRule type="cellIs" priority="2" operator="equal" aboveAverage="0" equalAverage="0" bottom="0" percent="0" rank="0" text="" dxfId="14">
      <formula>"Yes"</formula>
    </cfRule>
    <cfRule type="cellIs" priority="3" operator="equal" aboveAverage="0" equalAverage="0" bottom="0" percent="0" rank="0" text="" dxfId="15">
      <formula>"Partial"</formula>
    </cfRule>
    <cfRule type="cellIs" priority="4" operator="equal" aboveAverage="0" equalAverage="0" bottom="0" percent="0" rank="0" text="" dxfId="16">
      <formula>"No"</formula>
    </cfRule>
  </conditionalFormatting>
  <dataValidations count="1">
    <dataValidation allowBlank="true" errorStyle="stop" operator="between" showDropDown="false" showErrorMessage="false" showInputMessage="false" sqref="M5:M46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7" min="5" style="0" width="3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24" hidden="false" customHeight="tru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31.5" hidden="false" customHeight="true" outlineLevel="0" collapsed="false">
      <c r="A4" s="28" t="s">
        <v>421</v>
      </c>
      <c r="B4" s="28" t="s">
        <v>422</v>
      </c>
      <c r="C4" s="28" t="s">
        <v>423</v>
      </c>
      <c r="D4" s="28" t="s">
        <v>424</v>
      </c>
      <c r="E4" s="28" t="s">
        <v>425</v>
      </c>
      <c r="F4" s="28" t="s">
        <v>426</v>
      </c>
      <c r="G4" s="28" t="s">
        <v>427</v>
      </c>
      <c r="H4" s="28" t="s">
        <v>428</v>
      </c>
      <c r="I4" s="28" t="s">
        <v>53</v>
      </c>
      <c r="J4" s="28" t="s">
        <v>429</v>
      </c>
      <c r="K4" s="28" t="s">
        <v>430</v>
      </c>
    </row>
    <row r="5" customFormat="false" ht="23.85" hidden="false" customHeight="false" outlineLevel="0" collapsed="false">
      <c r="A5" s="45" t="s">
        <v>431</v>
      </c>
      <c r="B5" s="45" t="s">
        <v>432</v>
      </c>
      <c r="C5" s="45" t="s">
        <v>433</v>
      </c>
      <c r="D5" s="45" t="s">
        <v>434</v>
      </c>
      <c r="E5" s="45" t="s">
        <v>435</v>
      </c>
      <c r="F5" s="45" t="s">
        <v>436</v>
      </c>
      <c r="G5" s="45" t="s">
        <v>437</v>
      </c>
      <c r="H5" s="45" t="s">
        <v>438</v>
      </c>
      <c r="I5" s="46" t="s">
        <v>15</v>
      </c>
      <c r="J5" s="46" t="s">
        <v>439</v>
      </c>
      <c r="K5" s="46" t="n">
        <f aca="false">SUMPRODUCT(--((ISNUMBER(SEARCH(A5,'Learning Map'!$I$5:$I$46))+ISNUMBER(SEARCH(A5,'Learning Map'!$J$5:$J$46))+ISNUMBER(SEARCH(A5,'Learning Map'!$K$5:$K$46)))&gt;0))</f>
        <v>1</v>
      </c>
    </row>
    <row r="6" customFormat="false" ht="23.85" hidden="false" customHeight="false" outlineLevel="0" collapsed="false">
      <c r="A6" s="45" t="s">
        <v>440</v>
      </c>
      <c r="B6" s="45" t="s">
        <v>66</v>
      </c>
      <c r="C6" s="45" t="s">
        <v>441</v>
      </c>
      <c r="D6" s="45" t="s">
        <v>442</v>
      </c>
      <c r="E6" s="45" t="s">
        <v>443</v>
      </c>
      <c r="F6" s="45" t="s">
        <v>444</v>
      </c>
      <c r="G6" s="45" t="s">
        <v>445</v>
      </c>
      <c r="H6" s="45" t="s">
        <v>438</v>
      </c>
      <c r="I6" s="46" t="s">
        <v>15</v>
      </c>
      <c r="J6" s="46" t="s">
        <v>439</v>
      </c>
      <c r="K6" s="46" t="n">
        <f aca="false">SUMPRODUCT(--((ISNUMBER(SEARCH(A6,'Learning Map'!$I$5:$I$46))+ISNUMBER(SEARCH(A6,'Learning Map'!$J$5:$J$46))+ISNUMBER(SEARCH(A6,'Learning Map'!$K$5:$K$46)))&gt;0))</f>
        <v>1</v>
      </c>
    </row>
    <row r="7" customFormat="false" ht="23.85" hidden="false" customHeight="false" outlineLevel="0" collapsed="false">
      <c r="A7" s="45" t="s">
        <v>446</v>
      </c>
      <c r="B7" s="45" t="s">
        <v>447</v>
      </c>
      <c r="C7" s="45" t="s">
        <v>441</v>
      </c>
      <c r="D7" s="45" t="s">
        <v>448</v>
      </c>
      <c r="E7" s="45" t="s">
        <v>449</v>
      </c>
      <c r="F7" s="45" t="s">
        <v>450</v>
      </c>
      <c r="G7" s="45" t="s">
        <v>451</v>
      </c>
      <c r="H7" s="45" t="s">
        <v>452</v>
      </c>
      <c r="I7" s="46" t="s">
        <v>15</v>
      </c>
      <c r="J7" s="46" t="s">
        <v>439</v>
      </c>
      <c r="K7" s="46" t="n">
        <f aca="false">SUMPRODUCT(--((ISNUMBER(SEARCH(A7,'Learning Map'!$I$5:$I$46))+ISNUMBER(SEARCH(A7,'Learning Map'!$J$5:$J$46))+ISNUMBER(SEARCH(A7,'Learning Map'!$K$5:$K$46)))&gt;0))</f>
        <v>1</v>
      </c>
    </row>
    <row r="8" customFormat="false" ht="23.85" hidden="false" customHeight="false" outlineLevel="0" collapsed="false">
      <c r="A8" s="45" t="s">
        <v>453</v>
      </c>
      <c r="B8" s="45" t="s">
        <v>454</v>
      </c>
      <c r="C8" s="45" t="s">
        <v>455</v>
      </c>
      <c r="D8" s="45" t="s">
        <v>456</v>
      </c>
      <c r="E8" s="45" t="s">
        <v>457</v>
      </c>
      <c r="F8" s="45" t="s">
        <v>458</v>
      </c>
      <c r="G8" s="45" t="s">
        <v>459</v>
      </c>
      <c r="H8" s="45" t="s">
        <v>460</v>
      </c>
      <c r="I8" s="46" t="s">
        <v>14</v>
      </c>
      <c r="J8" s="46" t="s">
        <v>439</v>
      </c>
      <c r="K8" s="46" t="n">
        <f aca="false">SUMPRODUCT(--((ISNUMBER(SEARCH(A8,'Learning Map'!$I$5:$I$46))+ISNUMBER(SEARCH(A8,'Learning Map'!$J$5:$J$46))+ISNUMBER(SEARCH(A8,'Learning Map'!$K$5:$K$46)))&gt;0))</f>
        <v>7</v>
      </c>
    </row>
    <row r="9" customFormat="false" ht="23.85" hidden="false" customHeight="false" outlineLevel="0" collapsed="false">
      <c r="A9" s="45" t="s">
        <v>461</v>
      </c>
      <c r="B9" s="45" t="s">
        <v>462</v>
      </c>
      <c r="C9" s="45" t="s">
        <v>433</v>
      </c>
      <c r="D9" s="45" t="s">
        <v>463</v>
      </c>
      <c r="E9" s="45" t="s">
        <v>464</v>
      </c>
      <c r="F9" s="45" t="s">
        <v>465</v>
      </c>
      <c r="G9" s="45" t="s">
        <v>466</v>
      </c>
      <c r="H9" s="45" t="s">
        <v>467</v>
      </c>
      <c r="I9" s="46" t="s">
        <v>14</v>
      </c>
      <c r="J9" s="46" t="s">
        <v>439</v>
      </c>
      <c r="K9" s="46" t="n">
        <f aca="false">SUMPRODUCT(--((ISNUMBER(SEARCH(A9,'Learning Map'!$I$5:$I$46))+ISNUMBER(SEARCH(A9,'Learning Map'!$J$5:$J$46))+ISNUMBER(SEARCH(A9,'Learning Map'!$K$5:$K$46)))&gt;0))</f>
        <v>2</v>
      </c>
    </row>
    <row r="10" customFormat="false" ht="35.05" hidden="false" customHeight="false" outlineLevel="0" collapsed="false">
      <c r="A10" s="45" t="s">
        <v>468</v>
      </c>
      <c r="B10" s="45" t="s">
        <v>469</v>
      </c>
      <c r="C10" s="45" t="s">
        <v>470</v>
      </c>
      <c r="D10" s="45" t="s">
        <v>471</v>
      </c>
      <c r="E10" s="45" t="s">
        <v>472</v>
      </c>
      <c r="F10" s="45" t="s">
        <v>473</v>
      </c>
      <c r="G10" s="45" t="s">
        <v>474</v>
      </c>
      <c r="H10" s="45" t="s">
        <v>475</v>
      </c>
      <c r="I10" s="46" t="s">
        <v>15</v>
      </c>
      <c r="J10" s="46" t="s">
        <v>476</v>
      </c>
      <c r="K10" s="46" t="n">
        <f aca="false">SUMPRODUCT(--((ISNUMBER(SEARCH(A10,'Learning Map'!$I$5:$I$46))+ISNUMBER(SEARCH(A10,'Learning Map'!$J$5:$J$46))+ISNUMBER(SEARCH(A10,'Learning Map'!$K$5:$K$46)))&gt;0))</f>
        <v>4</v>
      </c>
    </row>
    <row r="11" customFormat="false" ht="23.85" hidden="false" customHeight="false" outlineLevel="0" collapsed="false">
      <c r="A11" s="45" t="s">
        <v>477</v>
      </c>
      <c r="B11" s="45" t="s">
        <v>106</v>
      </c>
      <c r="C11" s="45" t="s">
        <v>455</v>
      </c>
      <c r="D11" s="45" t="s">
        <v>478</v>
      </c>
      <c r="E11" s="45" t="s">
        <v>479</v>
      </c>
      <c r="F11" s="45" t="s">
        <v>480</v>
      </c>
      <c r="G11" s="45" t="s">
        <v>481</v>
      </c>
      <c r="H11" s="45" t="s">
        <v>482</v>
      </c>
      <c r="I11" s="46" t="s">
        <v>14</v>
      </c>
      <c r="J11" s="46" t="s">
        <v>476</v>
      </c>
      <c r="K11" s="46" t="n">
        <f aca="false">SUMPRODUCT(--((ISNUMBER(SEARCH(A11,'Learning Map'!$I$5:$I$46))+ISNUMBER(SEARCH(A11,'Learning Map'!$J$5:$J$46))+ISNUMBER(SEARCH(A11,'Learning Map'!$K$5:$K$46)))&gt;0))</f>
        <v>2</v>
      </c>
    </row>
    <row r="12" customFormat="false" ht="35.05" hidden="false" customHeight="false" outlineLevel="0" collapsed="false">
      <c r="A12" s="45" t="s">
        <v>483</v>
      </c>
      <c r="B12" s="45" t="s">
        <v>484</v>
      </c>
      <c r="C12" s="45" t="s">
        <v>485</v>
      </c>
      <c r="D12" s="45" t="s">
        <v>486</v>
      </c>
      <c r="E12" s="45" t="s">
        <v>487</v>
      </c>
      <c r="F12" s="45" t="s">
        <v>488</v>
      </c>
      <c r="G12" s="45" t="s">
        <v>489</v>
      </c>
      <c r="H12" s="45" t="s">
        <v>490</v>
      </c>
      <c r="I12" s="46" t="s">
        <v>15</v>
      </c>
      <c r="J12" s="46" t="s">
        <v>476</v>
      </c>
      <c r="K12" s="46" t="n">
        <f aca="false">SUMPRODUCT(--((ISNUMBER(SEARCH(A12,'Learning Map'!$I$5:$I$46))+ISNUMBER(SEARCH(A12,'Learning Map'!$J$5:$J$46))+ISNUMBER(SEARCH(A12,'Learning Map'!$K$5:$K$46)))&gt;0))</f>
        <v>3</v>
      </c>
    </row>
    <row r="13" customFormat="false" ht="23.85" hidden="false" customHeight="false" outlineLevel="0" collapsed="false">
      <c r="A13" s="45" t="s">
        <v>491</v>
      </c>
      <c r="B13" s="45" t="s">
        <v>492</v>
      </c>
      <c r="C13" s="45" t="s">
        <v>493</v>
      </c>
      <c r="D13" s="45" t="s">
        <v>494</v>
      </c>
      <c r="E13" s="45" t="s">
        <v>495</v>
      </c>
      <c r="F13" s="45" t="s">
        <v>496</v>
      </c>
      <c r="G13" s="45" t="s">
        <v>497</v>
      </c>
      <c r="H13" s="45" t="s">
        <v>498</v>
      </c>
      <c r="I13" s="46" t="s">
        <v>15</v>
      </c>
      <c r="J13" s="46" t="s">
        <v>439</v>
      </c>
      <c r="K13" s="46" t="n">
        <f aca="false">SUMPRODUCT(--((ISNUMBER(SEARCH(A13,'Learning Map'!$I$5:$I$46))+ISNUMBER(SEARCH(A13,'Learning Map'!$J$5:$J$46))+ISNUMBER(SEARCH(A13,'Learning Map'!$K$5:$K$46)))&gt;0))</f>
        <v>5</v>
      </c>
    </row>
    <row r="14" customFormat="false" ht="23.85" hidden="false" customHeight="false" outlineLevel="0" collapsed="false">
      <c r="A14" s="45" t="s">
        <v>499</v>
      </c>
      <c r="B14" s="45" t="s">
        <v>500</v>
      </c>
      <c r="C14" s="45" t="s">
        <v>455</v>
      </c>
      <c r="D14" s="45" t="s">
        <v>501</v>
      </c>
      <c r="E14" s="45" t="s">
        <v>502</v>
      </c>
      <c r="F14" s="45" t="s">
        <v>503</v>
      </c>
      <c r="G14" s="45" t="s">
        <v>504</v>
      </c>
      <c r="H14" s="45" t="s">
        <v>505</v>
      </c>
      <c r="I14" s="46" t="s">
        <v>15</v>
      </c>
      <c r="J14" s="46" t="s">
        <v>439</v>
      </c>
      <c r="K14" s="46" t="n">
        <f aca="false">SUMPRODUCT(--((ISNUMBER(SEARCH(A14,'Learning Map'!$I$5:$I$46))+ISNUMBER(SEARCH(A14,'Learning Map'!$J$5:$J$46))+ISNUMBER(SEARCH(A14,'Learning Map'!$K$5:$K$46)))&gt;0))</f>
        <v>2</v>
      </c>
    </row>
    <row r="15" customFormat="false" ht="35.05" hidden="false" customHeight="false" outlineLevel="0" collapsed="false">
      <c r="A15" s="45" t="s">
        <v>506</v>
      </c>
      <c r="B15" s="45" t="s">
        <v>507</v>
      </c>
      <c r="C15" s="45" t="s">
        <v>508</v>
      </c>
      <c r="D15" s="45" t="s">
        <v>509</v>
      </c>
      <c r="E15" s="45" t="s">
        <v>510</v>
      </c>
      <c r="F15" s="45" t="s">
        <v>511</v>
      </c>
      <c r="G15" s="45" t="s">
        <v>512</v>
      </c>
      <c r="H15" s="45" t="s">
        <v>513</v>
      </c>
      <c r="I15" s="46" t="s">
        <v>13</v>
      </c>
      <c r="J15" s="46" t="s">
        <v>59</v>
      </c>
      <c r="K15" s="46" t="n">
        <f aca="false">SUMPRODUCT(--((ISNUMBER(SEARCH(A15,'Learning Map'!$I$5:$I$46))+ISNUMBER(SEARCH(A15,'Learning Map'!$J$5:$J$46))+ISNUMBER(SEARCH(A15,'Learning Map'!$K$5:$K$46)))&gt;0))</f>
        <v>9</v>
      </c>
    </row>
    <row r="16" customFormat="false" ht="23.85" hidden="false" customHeight="false" outlineLevel="0" collapsed="false">
      <c r="A16" s="45" t="s">
        <v>514</v>
      </c>
      <c r="B16" s="45" t="s">
        <v>515</v>
      </c>
      <c r="C16" s="45" t="s">
        <v>493</v>
      </c>
      <c r="D16" s="45" t="s">
        <v>516</v>
      </c>
      <c r="E16" s="45" t="s">
        <v>517</v>
      </c>
      <c r="F16" s="45" t="s">
        <v>518</v>
      </c>
      <c r="G16" s="45" t="s">
        <v>519</v>
      </c>
      <c r="H16" s="45" t="s">
        <v>505</v>
      </c>
      <c r="I16" s="46" t="s">
        <v>14</v>
      </c>
      <c r="J16" s="46" t="s">
        <v>439</v>
      </c>
      <c r="K16" s="46" t="n">
        <f aca="false">SUMPRODUCT(--((ISNUMBER(SEARCH(A16,'Learning Map'!$I$5:$I$46))+ISNUMBER(SEARCH(A16,'Learning Map'!$J$5:$J$46))+ISNUMBER(SEARCH(A16,'Learning Map'!$K$5:$K$46)))&gt;0))</f>
        <v>6</v>
      </c>
    </row>
    <row r="17" customFormat="false" ht="23.85" hidden="false" customHeight="false" outlineLevel="0" collapsed="false">
      <c r="A17" s="45" t="s">
        <v>520</v>
      </c>
      <c r="B17" s="45" t="s">
        <v>521</v>
      </c>
      <c r="C17" s="45" t="s">
        <v>522</v>
      </c>
      <c r="D17" s="45" t="s">
        <v>523</v>
      </c>
      <c r="E17" s="45" t="s">
        <v>524</v>
      </c>
      <c r="F17" s="45" t="s">
        <v>525</v>
      </c>
      <c r="G17" s="45" t="s">
        <v>526</v>
      </c>
      <c r="H17" s="45" t="s">
        <v>475</v>
      </c>
      <c r="I17" s="46" t="s">
        <v>15</v>
      </c>
      <c r="J17" s="46" t="s">
        <v>476</v>
      </c>
      <c r="K17" s="46" t="n">
        <f aca="false">SUMPRODUCT(--((ISNUMBER(SEARCH(A17,'Learning Map'!$I$5:$I$46))+ISNUMBER(SEARCH(A17,'Learning Map'!$J$5:$J$46))+ISNUMBER(SEARCH(A17,'Learning Map'!$K$5:$K$46)))&gt;0))</f>
        <v>6</v>
      </c>
    </row>
    <row r="18" customFormat="false" ht="23.85" hidden="false" customHeight="false" outlineLevel="0" collapsed="false">
      <c r="A18" s="45" t="s">
        <v>527</v>
      </c>
      <c r="B18" s="45" t="s">
        <v>528</v>
      </c>
      <c r="C18" s="45" t="s">
        <v>493</v>
      </c>
      <c r="D18" s="45" t="s">
        <v>529</v>
      </c>
      <c r="E18" s="45" t="s">
        <v>530</v>
      </c>
      <c r="F18" s="45" t="s">
        <v>531</v>
      </c>
      <c r="G18" s="45" t="s">
        <v>532</v>
      </c>
      <c r="H18" s="45" t="s">
        <v>438</v>
      </c>
      <c r="I18" s="46" t="s">
        <v>15</v>
      </c>
      <c r="J18" s="46" t="s">
        <v>439</v>
      </c>
      <c r="K18" s="46" t="n">
        <f aca="false">SUMPRODUCT(--((ISNUMBER(SEARCH(A18,'Learning Map'!$I$5:$I$46))+ISNUMBER(SEARCH(A18,'Learning Map'!$J$5:$J$46))+ISNUMBER(SEARCH(A18,'Learning Map'!$K$5:$K$46)))&gt;0))</f>
        <v>1</v>
      </c>
    </row>
    <row r="19" customFormat="false" ht="15" hidden="false" customHeight="false" outlineLevel="0" collapsed="false">
      <c r="A19" s="45" t="s">
        <v>533</v>
      </c>
      <c r="B19" s="45" t="s">
        <v>534</v>
      </c>
      <c r="C19" s="45" t="s">
        <v>535</v>
      </c>
      <c r="D19" s="45" t="s">
        <v>536</v>
      </c>
      <c r="E19" s="45" t="s">
        <v>537</v>
      </c>
      <c r="F19" s="45" t="s">
        <v>538</v>
      </c>
      <c r="G19" s="45" t="s">
        <v>539</v>
      </c>
      <c r="H19" s="45" t="s">
        <v>505</v>
      </c>
      <c r="I19" s="46" t="s">
        <v>15</v>
      </c>
      <c r="J19" s="46" t="s">
        <v>476</v>
      </c>
      <c r="K19" s="46" t="n">
        <f aca="false">SUMPRODUCT(--((ISNUMBER(SEARCH(A19,'Learning Map'!$I$5:$I$46))+ISNUMBER(SEARCH(A19,'Learning Map'!$J$5:$J$46))+ISNUMBER(SEARCH(A19,'Learning Map'!$K$5:$K$46)))&gt;0))</f>
        <v>2</v>
      </c>
    </row>
    <row r="20" customFormat="false" ht="23.85" hidden="false" customHeight="false" outlineLevel="0" collapsed="false">
      <c r="A20" s="45" t="s">
        <v>540</v>
      </c>
      <c r="B20" s="45" t="s">
        <v>541</v>
      </c>
      <c r="C20" s="45" t="s">
        <v>522</v>
      </c>
      <c r="D20" s="45" t="s">
        <v>542</v>
      </c>
      <c r="E20" s="45" t="s">
        <v>543</v>
      </c>
      <c r="F20" s="45" t="s">
        <v>544</v>
      </c>
      <c r="G20" s="45" t="s">
        <v>545</v>
      </c>
      <c r="H20" s="45" t="s">
        <v>475</v>
      </c>
      <c r="I20" s="46" t="s">
        <v>15</v>
      </c>
      <c r="J20" s="46" t="s">
        <v>476</v>
      </c>
      <c r="K20" s="46" t="n">
        <f aca="false">SUMPRODUCT(--((ISNUMBER(SEARCH(A20,'Learning Map'!$I$5:$I$46))+ISNUMBER(SEARCH(A20,'Learning Map'!$J$5:$J$46))+ISNUMBER(SEARCH(A20,'Learning Map'!$K$5:$K$46)))&gt;0))</f>
        <v>5</v>
      </c>
    </row>
    <row r="21" customFormat="false" ht="23.85" hidden="false" customHeight="false" outlineLevel="0" collapsed="false">
      <c r="A21" s="45" t="s">
        <v>546</v>
      </c>
      <c r="B21" s="45" t="s">
        <v>547</v>
      </c>
      <c r="C21" s="45" t="s">
        <v>493</v>
      </c>
      <c r="D21" s="45" t="s">
        <v>548</v>
      </c>
      <c r="E21" s="45" t="s">
        <v>549</v>
      </c>
      <c r="F21" s="45" t="s">
        <v>550</v>
      </c>
      <c r="G21" s="45" t="s">
        <v>551</v>
      </c>
      <c r="H21" s="45" t="s">
        <v>552</v>
      </c>
      <c r="I21" s="46" t="s">
        <v>15</v>
      </c>
      <c r="J21" s="46" t="s">
        <v>439</v>
      </c>
      <c r="K21" s="46" t="n">
        <f aca="false">SUMPRODUCT(--((ISNUMBER(SEARCH(A21,'Learning Map'!$I$5:$I$46))+ISNUMBER(SEARCH(A21,'Learning Map'!$J$5:$J$46))+ISNUMBER(SEARCH(A21,'Learning Map'!$K$5:$K$46)))&gt;0))</f>
        <v>4</v>
      </c>
    </row>
    <row r="22" customFormat="false" ht="23.85" hidden="false" customHeight="false" outlineLevel="0" collapsed="false">
      <c r="A22" s="45" t="s">
        <v>553</v>
      </c>
      <c r="B22" s="45" t="s">
        <v>358</v>
      </c>
      <c r="C22" s="45" t="s">
        <v>535</v>
      </c>
      <c r="D22" s="45" t="s">
        <v>554</v>
      </c>
      <c r="E22" s="45" t="s">
        <v>517</v>
      </c>
      <c r="F22" s="45" t="s">
        <v>555</v>
      </c>
      <c r="G22" s="45" t="s">
        <v>556</v>
      </c>
      <c r="H22" s="45" t="s">
        <v>557</v>
      </c>
      <c r="I22" s="46" t="s">
        <v>15</v>
      </c>
      <c r="J22" s="46" t="s">
        <v>476</v>
      </c>
      <c r="K22" s="46" t="n">
        <f aca="false">SUMPRODUCT(--((ISNUMBER(SEARCH(A22,'Learning Map'!$I$5:$I$46))+ISNUMBER(SEARCH(A22,'Learning Map'!$J$5:$J$46))+ISNUMBER(SEARCH(A22,'Learning Map'!$K$5:$K$46)))&gt;0))</f>
        <v>1</v>
      </c>
    </row>
    <row r="23" customFormat="false" ht="23.85" hidden="false" customHeight="false" outlineLevel="0" collapsed="false">
      <c r="A23" s="45" t="s">
        <v>558</v>
      </c>
      <c r="B23" s="45" t="s">
        <v>559</v>
      </c>
      <c r="C23" s="45" t="s">
        <v>535</v>
      </c>
      <c r="D23" s="45" t="s">
        <v>560</v>
      </c>
      <c r="E23" s="45" t="s">
        <v>561</v>
      </c>
      <c r="F23" s="45" t="s">
        <v>562</v>
      </c>
      <c r="G23" s="45" t="s">
        <v>563</v>
      </c>
      <c r="H23" s="45" t="s">
        <v>564</v>
      </c>
      <c r="I23" s="46" t="s">
        <v>15</v>
      </c>
      <c r="J23" s="46" t="s">
        <v>476</v>
      </c>
      <c r="K23" s="46" t="n">
        <f aca="false">SUMPRODUCT(--((ISNUMBER(SEARCH(A23,'Learning Map'!$I$5:$I$46))+ISNUMBER(SEARCH(A23,'Learning Map'!$J$5:$J$46))+ISNUMBER(SEARCH(A23,'Learning Map'!$K$5:$K$46)))&gt;0))</f>
        <v>2</v>
      </c>
    </row>
    <row r="24" customFormat="false" ht="35.05" hidden="false" customHeight="false" outlineLevel="0" collapsed="false">
      <c r="A24" s="45" t="s">
        <v>565</v>
      </c>
      <c r="B24" s="45" t="s">
        <v>566</v>
      </c>
      <c r="C24" s="45" t="s">
        <v>508</v>
      </c>
      <c r="D24" s="45" t="s">
        <v>567</v>
      </c>
      <c r="E24" s="45" t="s">
        <v>568</v>
      </c>
      <c r="F24" s="45" t="s">
        <v>569</v>
      </c>
      <c r="G24" s="45" t="s">
        <v>570</v>
      </c>
      <c r="H24" s="45" t="s">
        <v>571</v>
      </c>
      <c r="I24" s="46" t="s">
        <v>15</v>
      </c>
      <c r="J24" s="46" t="s">
        <v>439</v>
      </c>
      <c r="K24" s="46" t="n">
        <f aca="false">SUMPRODUCT(--((ISNUMBER(SEARCH(A24,'Learning Map'!$I$5:$I$46))+ISNUMBER(SEARCH(A24,'Learning Map'!$J$5:$J$46))+ISNUMBER(SEARCH(A24,'Learning Map'!$K$5:$K$46)))&gt;0))</f>
        <v>3</v>
      </c>
    </row>
    <row r="25" customFormat="false" ht="23.85" hidden="false" customHeight="false" outlineLevel="0" collapsed="false">
      <c r="A25" s="45" t="s">
        <v>572</v>
      </c>
      <c r="B25" s="45" t="s">
        <v>573</v>
      </c>
      <c r="C25" s="45" t="s">
        <v>441</v>
      </c>
      <c r="D25" s="45" t="s">
        <v>574</v>
      </c>
      <c r="E25" s="45" t="s">
        <v>575</v>
      </c>
      <c r="F25" s="45" t="s">
        <v>576</v>
      </c>
      <c r="G25" s="45" t="s">
        <v>577</v>
      </c>
      <c r="H25" s="45" t="s">
        <v>578</v>
      </c>
      <c r="I25" s="46" t="s">
        <v>15</v>
      </c>
      <c r="J25" s="46" t="s">
        <v>476</v>
      </c>
      <c r="K25" s="46" t="n">
        <f aca="false">SUMPRODUCT(--((ISNUMBER(SEARCH(A25,'Learning Map'!$I$5:$I$46))+ISNUMBER(SEARCH(A25,'Learning Map'!$J$5:$J$46))+ISNUMBER(SEARCH(A25,'Learning Map'!$K$5:$K$46)))&gt;0))</f>
        <v>14</v>
      </c>
    </row>
    <row r="26" customFormat="false" ht="23.85" hidden="false" customHeight="false" outlineLevel="0" collapsed="false">
      <c r="A26" s="45" t="s">
        <v>579</v>
      </c>
      <c r="B26" s="45" t="s">
        <v>580</v>
      </c>
      <c r="C26" s="45" t="s">
        <v>535</v>
      </c>
      <c r="D26" s="45" t="s">
        <v>581</v>
      </c>
      <c r="E26" s="45" t="s">
        <v>582</v>
      </c>
      <c r="F26" s="45" t="s">
        <v>583</v>
      </c>
      <c r="G26" s="45" t="s">
        <v>584</v>
      </c>
      <c r="H26" s="45" t="s">
        <v>585</v>
      </c>
      <c r="I26" s="46" t="s">
        <v>15</v>
      </c>
      <c r="J26" s="46" t="s">
        <v>476</v>
      </c>
      <c r="K26" s="46" t="n">
        <f aca="false">SUMPRODUCT(--((ISNUMBER(SEARCH(A26,'Learning Map'!$I$5:$I$46))+ISNUMBER(SEARCH(A26,'Learning Map'!$J$5:$J$46))+ISNUMBER(SEARCH(A26,'Learning Map'!$K$5:$K$46)))&gt;0))</f>
        <v>3</v>
      </c>
    </row>
    <row r="28" customFormat="false" ht="15" hidden="false" customHeight="false" outlineLevel="0" collapsed="false">
      <c r="A28" s="2" t="s">
        <v>586</v>
      </c>
    </row>
  </sheetData>
  <conditionalFormatting sqref="I5:I26">
    <cfRule type="cellIs" priority="2" operator="equal" aboveAverage="0" equalAverage="0" bottom="0" percent="0" rank="0" text="" dxfId="14">
      <formula>"Yes"</formula>
    </cfRule>
    <cfRule type="cellIs" priority="3" operator="equal" aboveAverage="0" equalAverage="0" bottom="0" percent="0" rank="0" text="" dxfId="15">
      <formula>"Partial"</formula>
    </cfRule>
    <cfRule type="cellIs" priority="4" operator="equal" aboveAverage="0" equalAverage="0" bottom="0" percent="0" rank="0" text="" dxfId="16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10" min="8" style="0" width="28"/>
    <col collapsed="false" customWidth="true" hidden="false" outlineLevel="0" max="11" min="11" style="0" width="40"/>
  </cols>
  <sheetData>
    <row r="1" customFormat="false" ht="24" hidden="false" customHeight="true" outlineLevel="0" collapsed="false">
      <c r="A1" s="1" t="s">
        <v>587</v>
      </c>
    </row>
    <row r="2" customFormat="false" ht="15" hidden="false" customHeight="false" outlineLevel="0" collapsed="false">
      <c r="A2" s="2" t="s">
        <v>588</v>
      </c>
    </row>
    <row r="4" customFormat="false" ht="31.5" hidden="false" customHeight="true" outlineLevel="0" collapsed="false">
      <c r="A4" s="28" t="s">
        <v>589</v>
      </c>
      <c r="B4" s="28" t="s">
        <v>590</v>
      </c>
      <c r="C4" s="28" t="s">
        <v>591</v>
      </c>
      <c r="D4" s="28" t="s">
        <v>592</v>
      </c>
      <c r="E4" s="28" t="s">
        <v>593</v>
      </c>
      <c r="F4" s="28" t="s">
        <v>594</v>
      </c>
      <c r="G4" s="28" t="s">
        <v>595</v>
      </c>
      <c r="H4" s="28" t="s">
        <v>596</v>
      </c>
      <c r="I4" s="28" t="s">
        <v>597</v>
      </c>
      <c r="J4" s="28" t="s">
        <v>598</v>
      </c>
      <c r="K4" s="28" t="s">
        <v>599</v>
      </c>
    </row>
    <row r="5" customFormat="false" ht="35.05" hidden="false" customHeight="false" outlineLevel="0" collapsed="false">
      <c r="A5" s="47" t="n">
        <v>0</v>
      </c>
      <c r="B5" s="48" t="s">
        <v>600</v>
      </c>
      <c r="C5" s="45" t="s">
        <v>601</v>
      </c>
      <c r="D5" s="46" t="n">
        <f aca="false">COUNTIF('Learning Map'!$L$5:$L$46,"0 Echo Meadow")</f>
        <v>7</v>
      </c>
      <c r="E5" s="46" t="s">
        <v>602</v>
      </c>
      <c r="F5" s="45" t="s">
        <v>603</v>
      </c>
      <c r="G5" s="45" t="s">
        <v>604</v>
      </c>
      <c r="H5" s="45" t="s">
        <v>605</v>
      </c>
      <c r="I5" s="45" t="s">
        <v>606</v>
      </c>
      <c r="J5" s="45" t="s">
        <v>607</v>
      </c>
      <c r="K5" s="45" t="s">
        <v>608</v>
      </c>
    </row>
    <row r="6" customFormat="false" ht="23.85" hidden="false" customHeight="false" outlineLevel="0" collapsed="false">
      <c r="A6" s="47" t="n">
        <v>1</v>
      </c>
      <c r="B6" s="48" t="s">
        <v>609</v>
      </c>
      <c r="C6" s="45" t="s">
        <v>610</v>
      </c>
      <c r="D6" s="46" t="n">
        <f aca="false">COUNTIF('Learning Map'!$L$5:$L$46,"1 Phoneme Village")</f>
        <v>6</v>
      </c>
      <c r="E6" s="46" t="s">
        <v>611</v>
      </c>
      <c r="F6" s="45" t="s">
        <v>612</v>
      </c>
      <c r="G6" s="45" t="s">
        <v>613</v>
      </c>
      <c r="H6" s="45" t="s">
        <v>614</v>
      </c>
      <c r="I6" s="45" t="s">
        <v>615</v>
      </c>
      <c r="J6" s="45" t="s">
        <v>616</v>
      </c>
      <c r="K6" s="45" t="s">
        <v>617</v>
      </c>
    </row>
    <row r="7" customFormat="false" ht="46.25" hidden="false" customHeight="false" outlineLevel="0" collapsed="false">
      <c r="A7" s="47" t="n">
        <v>2</v>
      </c>
      <c r="B7" s="48" t="s">
        <v>618</v>
      </c>
      <c r="C7" s="45" t="s">
        <v>619</v>
      </c>
      <c r="D7" s="46" t="n">
        <f aca="false">COUNTIF('Learning Map'!$L$5:$L$46,"2 Closed-Syllable Woods")</f>
        <v>8</v>
      </c>
      <c r="E7" s="46" t="s">
        <v>620</v>
      </c>
      <c r="F7" s="45" t="s">
        <v>621</v>
      </c>
      <c r="G7" s="45" t="s">
        <v>622</v>
      </c>
      <c r="H7" s="45" t="s">
        <v>623</v>
      </c>
      <c r="I7" s="45" t="s">
        <v>624</v>
      </c>
      <c r="J7" s="45" t="s">
        <v>625</v>
      </c>
      <c r="K7" s="45" t="s">
        <v>626</v>
      </c>
    </row>
    <row r="8" customFormat="false" ht="35.05" hidden="false" customHeight="false" outlineLevel="0" collapsed="false">
      <c r="A8" s="47" t="n">
        <v>3</v>
      </c>
      <c r="B8" s="48" t="s">
        <v>627</v>
      </c>
      <c r="C8" s="45" t="s">
        <v>628</v>
      </c>
      <c r="D8" s="46" t="n">
        <f aca="false">COUNTIF('Learning Map'!$L$5:$L$46,"3 Long-Vowel Lake")</f>
        <v>3</v>
      </c>
      <c r="E8" s="46" t="s">
        <v>629</v>
      </c>
      <c r="F8" s="45" t="s">
        <v>630</v>
      </c>
      <c r="G8" s="45" t="s">
        <v>631</v>
      </c>
      <c r="H8" s="45" t="s">
        <v>632</v>
      </c>
      <c r="I8" s="45" t="s">
        <v>633</v>
      </c>
      <c r="J8" s="45" t="s">
        <v>634</v>
      </c>
      <c r="K8" s="45" t="s">
        <v>635</v>
      </c>
    </row>
    <row r="9" customFormat="false" ht="35.05" hidden="false" customHeight="false" outlineLevel="0" collapsed="false">
      <c r="A9" s="47" t="n">
        <v>4</v>
      </c>
      <c r="B9" s="48" t="s">
        <v>636</v>
      </c>
      <c r="C9" s="45" t="s">
        <v>637</v>
      </c>
      <c r="D9" s="46" t="n">
        <f aca="false">COUNTIF('Learning Map'!$L$5:$L$46,"4 Growling Caves")</f>
        <v>4</v>
      </c>
      <c r="E9" s="46" t="s">
        <v>638</v>
      </c>
      <c r="F9" s="45" t="s">
        <v>639</v>
      </c>
      <c r="G9" s="45" t="s">
        <v>640</v>
      </c>
      <c r="H9" s="45" t="s">
        <v>641</v>
      </c>
      <c r="I9" s="45" t="s">
        <v>642</v>
      </c>
      <c r="J9" s="45" t="s">
        <v>634</v>
      </c>
      <c r="K9" s="45" t="s">
        <v>643</v>
      </c>
    </row>
    <row r="10" customFormat="false" ht="23.85" hidden="false" customHeight="false" outlineLevel="0" collapsed="false">
      <c r="A10" s="47" t="n">
        <v>5</v>
      </c>
      <c r="B10" s="48" t="s">
        <v>644</v>
      </c>
      <c r="C10" s="45" t="s">
        <v>645</v>
      </c>
      <c r="D10" s="46" t="n">
        <f aca="false">COUNTIF('Learning Map'!$L$5:$L$46,"5 Syllable Mountains")</f>
        <v>6</v>
      </c>
      <c r="E10" s="46" t="s">
        <v>646</v>
      </c>
      <c r="F10" s="45" t="s">
        <v>647</v>
      </c>
      <c r="G10" s="45" t="s">
        <v>648</v>
      </c>
      <c r="H10" s="45" t="s">
        <v>649</v>
      </c>
      <c r="I10" s="45" t="s">
        <v>650</v>
      </c>
      <c r="J10" s="45" t="s">
        <v>651</v>
      </c>
      <c r="K10" s="45" t="s">
        <v>652</v>
      </c>
    </row>
    <row r="11" customFormat="false" ht="23.85" hidden="false" customHeight="false" outlineLevel="0" collapsed="false">
      <c r="A11" s="47" t="n">
        <v>6</v>
      </c>
      <c r="B11" s="48" t="s">
        <v>653</v>
      </c>
      <c r="C11" s="45" t="s">
        <v>654</v>
      </c>
      <c r="D11" s="46" t="n">
        <f aca="false">COUNTIF('Learning Map'!$L$5:$L$46,"6 Morpheme Citadel")</f>
        <v>4</v>
      </c>
      <c r="E11" s="46" t="s">
        <v>655</v>
      </c>
      <c r="F11" s="45" t="s">
        <v>656</v>
      </c>
      <c r="G11" s="45" t="s">
        <v>657</v>
      </c>
      <c r="H11" s="45" t="s">
        <v>658</v>
      </c>
      <c r="I11" s="45" t="s">
        <v>659</v>
      </c>
      <c r="J11" s="45" t="s">
        <v>660</v>
      </c>
      <c r="K11" s="45" t="s">
        <v>661</v>
      </c>
    </row>
    <row r="12" customFormat="false" ht="23.85" hidden="false" customHeight="false" outlineLevel="0" collapsed="false">
      <c r="A12" s="47" t="n">
        <v>7</v>
      </c>
      <c r="B12" s="48" t="s">
        <v>662</v>
      </c>
      <c r="C12" s="45" t="s">
        <v>663</v>
      </c>
      <c r="D12" s="46" t="n">
        <f aca="false">COUNTIF('Learning Map'!$L$5:$L$46,"7 Root Ruins")</f>
        <v>2</v>
      </c>
      <c r="E12" s="46" t="s">
        <v>664</v>
      </c>
      <c r="F12" s="45" t="s">
        <v>665</v>
      </c>
      <c r="G12" s="45" t="s">
        <v>666</v>
      </c>
      <c r="H12" s="45" t="s">
        <v>667</v>
      </c>
      <c r="I12" s="45" t="s">
        <v>668</v>
      </c>
      <c r="J12" s="45" t="s">
        <v>607</v>
      </c>
      <c r="K12" s="45" t="s">
        <v>669</v>
      </c>
    </row>
    <row r="13" customFormat="false" ht="23.85" hidden="false" customHeight="false" outlineLevel="0" collapsed="false">
      <c r="A13" s="47" t="s">
        <v>670</v>
      </c>
      <c r="B13" s="48" t="s">
        <v>671</v>
      </c>
      <c r="C13" s="45" t="s">
        <v>398</v>
      </c>
      <c r="D13" s="46" t="n">
        <f aca="false">COUNTIF('Learning Map'!$L$5:$L$46,"Rare spawns in every zone")</f>
        <v>1</v>
      </c>
      <c r="E13" s="46" t="s">
        <v>59</v>
      </c>
      <c r="F13" s="45" t="s">
        <v>672</v>
      </c>
      <c r="G13" s="45" t="s">
        <v>59</v>
      </c>
      <c r="H13" s="45" t="s">
        <v>673</v>
      </c>
      <c r="I13" s="45" t="s">
        <v>59</v>
      </c>
      <c r="J13" s="45" t="s">
        <v>674</v>
      </c>
      <c r="K13" s="45" t="s">
        <v>675</v>
      </c>
    </row>
    <row r="14" customFormat="false" ht="35.05" hidden="false" customHeight="false" outlineLevel="0" collapsed="false">
      <c r="A14" s="47" t="s">
        <v>670</v>
      </c>
      <c r="B14" s="48" t="s">
        <v>676</v>
      </c>
      <c r="C14" s="45" t="s">
        <v>677</v>
      </c>
      <c r="D14" s="46" t="n">
        <f aca="false">COUNTIF('Learning Map'!$L$5:$L$46,"Daily Quest Board (village)")</f>
        <v>1</v>
      </c>
      <c r="E14" s="46" t="s">
        <v>59</v>
      </c>
      <c r="F14" s="45" t="s">
        <v>678</v>
      </c>
      <c r="G14" s="45" t="s">
        <v>59</v>
      </c>
      <c r="H14" s="45" t="s">
        <v>679</v>
      </c>
      <c r="I14" s="45" t="s">
        <v>59</v>
      </c>
      <c r="J14" s="45" t="s">
        <v>607</v>
      </c>
      <c r="K14" s="45" t="s">
        <v>680</v>
      </c>
    </row>
    <row r="15" customFormat="false" ht="15" hidden="false" customHeight="false" outlineLevel="0" collapsed="false">
      <c r="C15" s="23" t="s">
        <v>681</v>
      </c>
      <c r="D15" s="49" t="n">
        <f aca="false">SUM(D5:D14)</f>
        <v>42</v>
      </c>
      <c r="E15" s="2" t="str">
        <f aca="false">IF(D15=COUNTA('Learning Map'!$A$5:$A$46),"✓ all stages placed","⚠ check zones")</f>
        <v>✓ all stages placed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4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" t="s">
        <v>682</v>
      </c>
    </row>
    <row r="2" customFormat="false" ht="15" hidden="false" customHeight="false" outlineLevel="0" collapsed="false">
      <c r="A2" s="2" t="s">
        <v>683</v>
      </c>
    </row>
    <row r="4" customFormat="false" ht="31.5" hidden="false" customHeight="true" outlineLevel="0" collapsed="false">
      <c r="A4" s="28" t="s">
        <v>684</v>
      </c>
      <c r="B4" s="28" t="s">
        <v>685</v>
      </c>
      <c r="C4" s="28" t="s">
        <v>686</v>
      </c>
      <c r="D4" s="28" t="s">
        <v>687</v>
      </c>
      <c r="E4" s="28" t="s">
        <v>688</v>
      </c>
    </row>
    <row r="5" customFormat="false" ht="23.85" hidden="false" customHeight="false" outlineLevel="0" collapsed="false">
      <c r="A5" s="45" t="s">
        <v>689</v>
      </c>
      <c r="B5" s="45" t="s">
        <v>690</v>
      </c>
      <c r="C5" s="45" t="s">
        <v>691</v>
      </c>
      <c r="D5" s="45" t="s">
        <v>692</v>
      </c>
      <c r="E5" s="45" t="s">
        <v>693</v>
      </c>
    </row>
    <row r="6" customFormat="false" ht="23.85" hidden="false" customHeight="false" outlineLevel="0" collapsed="false">
      <c r="A6" s="45" t="s">
        <v>694</v>
      </c>
      <c r="B6" s="45" t="s">
        <v>695</v>
      </c>
      <c r="C6" s="45" t="s">
        <v>696</v>
      </c>
      <c r="D6" s="45" t="s">
        <v>607</v>
      </c>
      <c r="E6" s="45" t="s">
        <v>697</v>
      </c>
    </row>
    <row r="7" customFormat="false" ht="15" hidden="false" customHeight="false" outlineLevel="0" collapsed="false">
      <c r="A7" s="45" t="s">
        <v>698</v>
      </c>
      <c r="B7" s="45" t="s">
        <v>699</v>
      </c>
      <c r="C7" s="45" t="s">
        <v>700</v>
      </c>
      <c r="D7" s="45" t="s">
        <v>701</v>
      </c>
      <c r="E7" s="45" t="s">
        <v>702</v>
      </c>
    </row>
    <row r="8" customFormat="false" ht="15" hidden="false" customHeight="false" outlineLevel="0" collapsed="false">
      <c r="A8" s="45" t="s">
        <v>703</v>
      </c>
      <c r="B8" s="45" t="s">
        <v>704</v>
      </c>
      <c r="C8" s="45" t="s">
        <v>705</v>
      </c>
      <c r="D8" s="45" t="s">
        <v>706</v>
      </c>
      <c r="E8" s="45" t="s">
        <v>707</v>
      </c>
    </row>
    <row r="9" customFormat="false" ht="23.85" hidden="false" customHeight="false" outlineLevel="0" collapsed="false">
      <c r="A9" s="45" t="s">
        <v>708</v>
      </c>
      <c r="B9" s="45" t="s">
        <v>709</v>
      </c>
      <c r="C9" s="45" t="s">
        <v>710</v>
      </c>
      <c r="D9" s="45" t="s">
        <v>711</v>
      </c>
      <c r="E9" s="45" t="s">
        <v>712</v>
      </c>
    </row>
    <row r="10" customFormat="false" ht="23.85" hidden="false" customHeight="false" outlineLevel="0" collapsed="false">
      <c r="A10" s="45" t="s">
        <v>713</v>
      </c>
      <c r="B10" s="45" t="s">
        <v>714</v>
      </c>
      <c r="C10" s="45" t="s">
        <v>715</v>
      </c>
      <c r="D10" s="45" t="s">
        <v>716</v>
      </c>
      <c r="E10" s="45" t="s">
        <v>717</v>
      </c>
    </row>
    <row r="11" customFormat="false" ht="23.85" hidden="false" customHeight="false" outlineLevel="0" collapsed="false">
      <c r="A11" s="45" t="s">
        <v>718</v>
      </c>
      <c r="B11" s="45" t="s">
        <v>607</v>
      </c>
      <c r="C11" s="45" t="s">
        <v>607</v>
      </c>
      <c r="D11" s="45" t="s">
        <v>719</v>
      </c>
      <c r="E11" s="45" t="s">
        <v>720</v>
      </c>
    </row>
    <row r="12" customFormat="false" ht="15" hidden="false" customHeight="false" outlineLevel="0" collapsed="false">
      <c r="A12" s="45" t="s">
        <v>721</v>
      </c>
      <c r="B12" s="45" t="s">
        <v>722</v>
      </c>
      <c r="C12" s="45" t="s">
        <v>723</v>
      </c>
      <c r="D12" s="45" t="s">
        <v>724</v>
      </c>
      <c r="E12" s="45" t="s">
        <v>725</v>
      </c>
    </row>
    <row r="13" customFormat="false" ht="15" hidden="false" customHeight="false" outlineLevel="0" collapsed="false">
      <c r="A13" s="45" t="s">
        <v>726</v>
      </c>
      <c r="B13" s="45" t="s">
        <v>727</v>
      </c>
      <c r="C13" s="45" t="s">
        <v>728</v>
      </c>
      <c r="D13" s="45" t="s">
        <v>729</v>
      </c>
      <c r="E13" s="45" t="s">
        <v>730</v>
      </c>
    </row>
    <row r="14" customFormat="false" ht="15" hidden="false" customHeight="false" outlineLevel="0" collapsed="false">
      <c r="A14" s="45" t="s">
        <v>731</v>
      </c>
      <c r="B14" s="45" t="s">
        <v>732</v>
      </c>
      <c r="C14" s="45" t="s">
        <v>733</v>
      </c>
      <c r="D14" s="45" t="s">
        <v>734</v>
      </c>
      <c r="E14" s="45" t="s">
        <v>735</v>
      </c>
    </row>
    <row r="15" customFormat="false" ht="15" hidden="false" customHeight="false" outlineLevel="0" collapsed="false">
      <c r="A15" s="45" t="s">
        <v>736</v>
      </c>
      <c r="B15" s="45" t="s">
        <v>737</v>
      </c>
      <c r="C15" s="45" t="s">
        <v>607</v>
      </c>
      <c r="D15" s="45" t="s">
        <v>738</v>
      </c>
      <c r="E15" s="45" t="s">
        <v>739</v>
      </c>
    </row>
    <row r="17" customFormat="false" ht="15" hidden="false" customHeight="false" outlineLevel="0" collapsed="false">
      <c r="A17" s="3" t="s">
        <v>740</v>
      </c>
    </row>
    <row r="18" customFormat="false" ht="31.5" hidden="false" customHeight="true" outlineLevel="0" collapsed="false">
      <c r="A18" s="28" t="s">
        <v>741</v>
      </c>
      <c r="B18" s="28" t="s">
        <v>742</v>
      </c>
      <c r="C18" s="28" t="s">
        <v>743</v>
      </c>
      <c r="D18" s="28" t="s">
        <v>744</v>
      </c>
      <c r="E18" s="28" t="s">
        <v>745</v>
      </c>
    </row>
    <row r="19" customFormat="false" ht="23.85" hidden="false" customHeight="false" outlineLevel="0" collapsed="false">
      <c r="A19" s="45" t="s">
        <v>746</v>
      </c>
      <c r="B19" s="46" t="n">
        <v>1</v>
      </c>
      <c r="C19" s="45" t="s">
        <v>747</v>
      </c>
      <c r="D19" s="45" t="s">
        <v>748</v>
      </c>
      <c r="E19" s="45" t="s">
        <v>749</v>
      </c>
    </row>
    <row r="20" customFormat="false" ht="23.85" hidden="false" customHeight="false" outlineLevel="0" collapsed="false">
      <c r="A20" s="45" t="s">
        <v>750</v>
      </c>
      <c r="B20" s="46" t="n">
        <v>1</v>
      </c>
      <c r="C20" s="45" t="s">
        <v>751</v>
      </c>
      <c r="D20" s="45" t="s">
        <v>752</v>
      </c>
      <c r="E20" s="45" t="s">
        <v>753</v>
      </c>
    </row>
    <row r="21" customFormat="false" ht="23.85" hidden="false" customHeight="false" outlineLevel="0" collapsed="false">
      <c r="A21" s="45" t="s">
        <v>754</v>
      </c>
      <c r="B21" s="46" t="n">
        <v>2</v>
      </c>
      <c r="C21" s="45" t="s">
        <v>755</v>
      </c>
      <c r="D21" s="45" t="s">
        <v>756</v>
      </c>
      <c r="E21" s="45" t="s">
        <v>757</v>
      </c>
    </row>
    <row r="23" customFormat="false" ht="15" hidden="false" customHeight="false" outlineLevel="0" collapsed="false">
      <c r="A23" s="3" t="s">
        <v>758</v>
      </c>
    </row>
    <row r="24" customFormat="false" ht="15" hidden="false" customHeight="false" outlineLevel="0" collapsed="false">
      <c r="A24" s="2" t="s">
        <v>759</v>
      </c>
    </row>
    <row r="25" customFormat="false" ht="23.85" hidden="false" customHeight="false" outlineLevel="0" collapsed="false">
      <c r="A25" s="45" t="s">
        <v>760</v>
      </c>
      <c r="B25" s="50" t="n">
        <v>8</v>
      </c>
    </row>
    <row r="26" customFormat="false" ht="23.85" hidden="false" customHeight="false" outlineLevel="0" collapsed="false">
      <c r="A26" s="45" t="s">
        <v>761</v>
      </c>
      <c r="B26" s="50" t="n">
        <v>1</v>
      </c>
    </row>
    <row r="27" customFormat="false" ht="23.85" hidden="false" customHeight="false" outlineLevel="0" collapsed="false">
      <c r="A27" s="45" t="s">
        <v>762</v>
      </c>
      <c r="B27" s="50" t="s">
        <v>426</v>
      </c>
    </row>
    <row r="28" customFormat="false" ht="15" hidden="false" customHeight="false" outlineLevel="0" collapsed="false">
      <c r="A28" s="45" t="s">
        <v>763</v>
      </c>
      <c r="B28" s="51" t="n">
        <v>0.9</v>
      </c>
      <c r="C28" s="2" t="s">
        <v>764</v>
      </c>
    </row>
    <row r="29" customFormat="false" ht="23.85" hidden="false" customHeight="false" outlineLevel="0" collapsed="false">
      <c r="A29" s="45" t="s">
        <v>765</v>
      </c>
      <c r="B29" s="51" t="n">
        <v>0.7</v>
      </c>
    </row>
    <row r="30" customFormat="false" ht="15" hidden="false" customHeight="false" outlineLevel="0" collapsed="false">
      <c r="A30" s="45" t="s">
        <v>766</v>
      </c>
      <c r="B30" s="51" t="n">
        <v>0.8</v>
      </c>
    </row>
    <row r="31" customFormat="false" ht="15" hidden="false" customHeight="false" outlineLevel="0" collapsed="false">
      <c r="A31" s="45" t="s">
        <v>767</v>
      </c>
      <c r="B31" s="50" t="n">
        <v>2</v>
      </c>
    </row>
    <row r="33" customFormat="false" ht="15" hidden="false" customHeight="false" outlineLevel="0" collapsed="false">
      <c r="A33" s="52" t="s">
        <v>768</v>
      </c>
      <c r="B33" s="53" t="n">
        <f aca="false">$B$25/10</f>
        <v>0.8</v>
      </c>
    </row>
    <row r="34" customFormat="false" ht="15" hidden="false" customHeight="false" outlineLevel="0" collapsed="false">
      <c r="A34" s="52" t="s">
        <v>769</v>
      </c>
      <c r="B34" s="48" t="str">
        <f aca="false">IF($B$25/10&gt;=$B$28,IF($B$27="Easy","Normal","Hard"),IF($B$25/10&lt;$B$29,IF($B$27="Hard","Normal","Easy"),$B$27))</f>
        <v>Normal</v>
      </c>
    </row>
    <row r="35" customFormat="false" ht="15" hidden="false" customHeight="false" outlineLevel="0" collapsed="false">
      <c r="A35" s="52" t="s">
        <v>770</v>
      </c>
      <c r="B35" s="48" t="str">
        <f aca="false">IF(AND($B$25/10&gt;=$B$30,$B$26+1&gt;=$B$31),"MASTERED — unlock next stage, move to review pool",IF($B$25/10&gt;=$B$30,"On track — needs another day at ≥80%","Practising — keep scaffolds"))</f>
        <v>MASTERED — unlock next stage, move to review pool</v>
      </c>
      <c r="C35" s="48"/>
    </row>
    <row r="36" customFormat="false" ht="15" hidden="false" customHeight="false" outlineLevel="0" collapsed="false">
      <c r="A36" s="2" t="s">
        <v>771</v>
      </c>
    </row>
  </sheetData>
  <mergeCells count="1">
    <mergeCell ref="B35:C35"/>
  </mergeCells>
  <dataValidations count="1">
    <dataValidation allowBlank="false" errorStyle="stop" operator="between" showDropDown="false" showErrorMessage="false" showInputMessage="false" sqref="B27" type="list">
      <formula1>"Easy,Normal,Hard"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772</v>
      </c>
    </row>
    <row r="2" customFormat="false" ht="15" hidden="false" customHeight="false" outlineLevel="0" collapsed="false">
      <c r="A2" s="2" t="s">
        <v>773</v>
      </c>
    </row>
    <row r="4" customFormat="false" ht="31.5" hidden="false" customHeight="true" outlineLevel="0" collapsed="false">
      <c r="A4" s="28" t="s">
        <v>774</v>
      </c>
      <c r="B4" s="28" t="s">
        <v>775</v>
      </c>
      <c r="C4" s="28" t="s">
        <v>776</v>
      </c>
      <c r="D4" s="28" t="s">
        <v>777</v>
      </c>
      <c r="E4" s="28" t="s">
        <v>778</v>
      </c>
      <c r="F4" s="28" t="s">
        <v>779</v>
      </c>
      <c r="G4" s="28" t="s">
        <v>780</v>
      </c>
    </row>
    <row r="5" customFormat="false" ht="35.05" hidden="false" customHeight="false" outlineLevel="0" collapsed="false">
      <c r="A5" s="46" t="n">
        <v>1</v>
      </c>
      <c r="B5" s="45" t="s">
        <v>781</v>
      </c>
      <c r="C5" s="45" t="s">
        <v>782</v>
      </c>
      <c r="D5" s="45" t="s">
        <v>783</v>
      </c>
      <c r="E5" s="45" t="s">
        <v>784</v>
      </c>
      <c r="F5" s="45" t="s">
        <v>785</v>
      </c>
      <c r="G5" s="46" t="s">
        <v>786</v>
      </c>
    </row>
    <row r="6" customFormat="false" ht="23.85" hidden="false" customHeight="false" outlineLevel="0" collapsed="false">
      <c r="A6" s="46" t="n">
        <v>2</v>
      </c>
      <c r="B6" s="45" t="s">
        <v>787</v>
      </c>
      <c r="C6" s="45" t="s">
        <v>788</v>
      </c>
      <c r="D6" s="45" t="s">
        <v>783</v>
      </c>
      <c r="E6" s="45" t="s">
        <v>789</v>
      </c>
      <c r="F6" s="45" t="s">
        <v>790</v>
      </c>
      <c r="G6" s="46" t="s">
        <v>786</v>
      </c>
    </row>
    <row r="7" customFormat="false" ht="46.25" hidden="false" customHeight="false" outlineLevel="0" collapsed="false">
      <c r="A7" s="46" t="n">
        <v>3</v>
      </c>
      <c r="B7" s="45" t="s">
        <v>791</v>
      </c>
      <c r="C7" s="45" t="s">
        <v>792</v>
      </c>
      <c r="D7" s="45" t="s">
        <v>793</v>
      </c>
      <c r="E7" s="45" t="s">
        <v>794</v>
      </c>
      <c r="F7" s="45" t="s">
        <v>795</v>
      </c>
      <c r="G7" s="46" t="s">
        <v>786</v>
      </c>
    </row>
    <row r="8" customFormat="false" ht="35.05" hidden="false" customHeight="false" outlineLevel="0" collapsed="false">
      <c r="A8" s="46" t="n">
        <v>4</v>
      </c>
      <c r="B8" s="45" t="s">
        <v>787</v>
      </c>
      <c r="C8" s="45" t="s">
        <v>796</v>
      </c>
      <c r="D8" s="45" t="s">
        <v>797</v>
      </c>
      <c r="E8" s="45" t="s">
        <v>798</v>
      </c>
      <c r="F8" s="45" t="s">
        <v>799</v>
      </c>
      <c r="G8" s="46" t="s">
        <v>786</v>
      </c>
    </row>
    <row r="9" customFormat="false" ht="46.25" hidden="false" customHeight="false" outlineLevel="0" collapsed="false">
      <c r="A9" s="46" t="n">
        <v>5</v>
      </c>
      <c r="B9" s="45" t="s">
        <v>781</v>
      </c>
      <c r="C9" s="45" t="s">
        <v>800</v>
      </c>
      <c r="D9" s="45" t="s">
        <v>801</v>
      </c>
      <c r="E9" s="45" t="s">
        <v>802</v>
      </c>
      <c r="F9" s="45" t="s">
        <v>803</v>
      </c>
      <c r="G9" s="46" t="s">
        <v>786</v>
      </c>
    </row>
    <row r="10" customFormat="false" ht="46.25" hidden="false" customHeight="false" outlineLevel="0" collapsed="false">
      <c r="A10" s="46" t="n">
        <v>6</v>
      </c>
      <c r="B10" s="45" t="s">
        <v>781</v>
      </c>
      <c r="C10" s="45" t="s">
        <v>804</v>
      </c>
      <c r="D10" s="45" t="s">
        <v>805</v>
      </c>
      <c r="E10" s="45" t="s">
        <v>806</v>
      </c>
      <c r="F10" s="45" t="s">
        <v>807</v>
      </c>
      <c r="G10" s="46" t="s">
        <v>808</v>
      </c>
    </row>
    <row r="11" customFormat="false" ht="23.85" hidden="false" customHeight="false" outlineLevel="0" collapsed="false">
      <c r="A11" s="46" t="n">
        <v>7</v>
      </c>
      <c r="B11" s="45" t="s">
        <v>809</v>
      </c>
      <c r="C11" s="45" t="s">
        <v>810</v>
      </c>
      <c r="D11" s="45" t="s">
        <v>811</v>
      </c>
      <c r="E11" s="45" t="s">
        <v>812</v>
      </c>
      <c r="F11" s="45" t="s">
        <v>813</v>
      </c>
      <c r="G11" s="46" t="s">
        <v>808</v>
      </c>
    </row>
    <row r="12" customFormat="false" ht="23.85" hidden="false" customHeight="false" outlineLevel="0" collapsed="false">
      <c r="A12" s="46" t="n">
        <v>8</v>
      </c>
      <c r="B12" s="45" t="s">
        <v>814</v>
      </c>
      <c r="C12" s="45" t="s">
        <v>815</v>
      </c>
      <c r="D12" s="45" t="s">
        <v>816</v>
      </c>
      <c r="E12" s="45" t="s">
        <v>817</v>
      </c>
      <c r="F12" s="45" t="s">
        <v>818</v>
      </c>
      <c r="G12" s="46" t="s">
        <v>786</v>
      </c>
    </row>
    <row r="13" customFormat="false" ht="23.85" hidden="false" customHeight="false" outlineLevel="0" collapsed="false">
      <c r="A13" s="46" t="n">
        <v>9</v>
      </c>
      <c r="B13" s="45" t="s">
        <v>819</v>
      </c>
      <c r="C13" s="45" t="s">
        <v>820</v>
      </c>
      <c r="D13" s="45" t="s">
        <v>821</v>
      </c>
      <c r="E13" s="45" t="s">
        <v>822</v>
      </c>
      <c r="F13" s="45" t="s">
        <v>823</v>
      </c>
      <c r="G13" s="46" t="s">
        <v>808</v>
      </c>
    </row>
    <row r="14" customFormat="false" ht="35.05" hidden="false" customHeight="false" outlineLevel="0" collapsed="false">
      <c r="A14" s="46" t="n">
        <v>10</v>
      </c>
      <c r="B14" s="45" t="s">
        <v>824</v>
      </c>
      <c r="C14" s="45" t="s">
        <v>825</v>
      </c>
      <c r="D14" s="45" t="s">
        <v>826</v>
      </c>
      <c r="E14" s="45" t="s">
        <v>827</v>
      </c>
      <c r="F14" s="45" t="s">
        <v>828</v>
      </c>
      <c r="G14" s="46" t="s">
        <v>808</v>
      </c>
    </row>
    <row r="15" customFormat="false" ht="23.85" hidden="false" customHeight="false" outlineLevel="0" collapsed="false">
      <c r="A15" s="46" t="n">
        <v>11</v>
      </c>
      <c r="B15" s="45" t="s">
        <v>829</v>
      </c>
      <c r="C15" s="45" t="s">
        <v>830</v>
      </c>
      <c r="D15" s="45" t="s">
        <v>59</v>
      </c>
      <c r="E15" s="45" t="s">
        <v>831</v>
      </c>
      <c r="F15" s="45" t="s">
        <v>832</v>
      </c>
      <c r="G15" s="46" t="s">
        <v>808</v>
      </c>
    </row>
    <row r="16" customFormat="false" ht="23.85" hidden="false" customHeight="false" outlineLevel="0" collapsed="false">
      <c r="A16" s="46" t="n">
        <v>12</v>
      </c>
      <c r="B16" s="45" t="s">
        <v>833</v>
      </c>
      <c r="C16" s="45" t="s">
        <v>834</v>
      </c>
      <c r="D16" s="45" t="s">
        <v>59</v>
      </c>
      <c r="E16" s="45" t="s">
        <v>835</v>
      </c>
      <c r="F16" s="45" t="s">
        <v>836</v>
      </c>
      <c r="G16" s="46" t="s">
        <v>808</v>
      </c>
    </row>
    <row r="17" customFormat="false" ht="35.05" hidden="false" customHeight="false" outlineLevel="0" collapsed="false">
      <c r="A17" s="46" t="n">
        <v>13</v>
      </c>
      <c r="B17" s="45" t="s">
        <v>837</v>
      </c>
      <c r="C17" s="45" t="s">
        <v>838</v>
      </c>
      <c r="D17" s="45" t="s">
        <v>839</v>
      </c>
      <c r="E17" s="45" t="s">
        <v>840</v>
      </c>
      <c r="F17" s="45" t="s">
        <v>841</v>
      </c>
      <c r="G17" s="46" t="s">
        <v>842</v>
      </c>
    </row>
    <row r="18" customFormat="false" ht="46.25" hidden="false" customHeight="false" outlineLevel="0" collapsed="false">
      <c r="A18" s="46" t="n">
        <v>14</v>
      </c>
      <c r="B18" s="45" t="s">
        <v>843</v>
      </c>
      <c r="C18" s="45" t="s">
        <v>844</v>
      </c>
      <c r="D18" s="45" t="s">
        <v>845</v>
      </c>
      <c r="E18" s="45" t="s">
        <v>59</v>
      </c>
      <c r="F18" s="45" t="s">
        <v>846</v>
      </c>
      <c r="G18" s="46" t="s">
        <v>59</v>
      </c>
    </row>
  </sheetData>
  <conditionalFormatting sqref="G5:G18">
    <cfRule type="cellIs" priority="2" operator="equal" aboveAverage="0" equalAverage="0" bottom="0" percent="0" rank="0" text="" dxfId="17">
      <formula>"High"</formula>
    </cfRule>
    <cfRule type="cellIs" priority="3" operator="equal" aboveAverage="0" equalAverage="0" bottom="0" percent="0" rank="0" text="" dxfId="18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6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15" hidden="false" customHeight="false" outlineLevel="0" collapsed="false">
      <c r="A2" s="2" t="s">
        <v>847</v>
      </c>
    </row>
    <row r="4" customFormat="false" ht="31.5" hidden="false" customHeight="true" outlineLevel="0" collapsed="false">
      <c r="A4" s="28" t="s">
        <v>848</v>
      </c>
      <c r="B4" s="28" t="s">
        <v>849</v>
      </c>
      <c r="C4" s="28" t="s">
        <v>850</v>
      </c>
    </row>
    <row r="5" customFormat="false" ht="23.85" hidden="false" customHeight="false" outlineLevel="0" collapsed="false">
      <c r="A5" s="45" t="s">
        <v>851</v>
      </c>
      <c r="B5" s="45" t="s">
        <v>852</v>
      </c>
      <c r="C5" s="45" t="s">
        <v>853</v>
      </c>
    </row>
    <row r="6" customFormat="false" ht="23.85" hidden="false" customHeight="false" outlineLevel="0" collapsed="false">
      <c r="A6" s="45" t="s">
        <v>854</v>
      </c>
      <c r="B6" s="45" t="s">
        <v>855</v>
      </c>
      <c r="C6" s="45" t="s">
        <v>856</v>
      </c>
    </row>
    <row r="7" customFormat="false" ht="23.85" hidden="false" customHeight="false" outlineLevel="0" collapsed="false">
      <c r="A7" s="45" t="s">
        <v>857</v>
      </c>
      <c r="B7" s="45" t="s">
        <v>858</v>
      </c>
      <c r="C7" s="45" t="s">
        <v>859</v>
      </c>
    </row>
    <row r="8" customFormat="false" ht="23.85" hidden="false" customHeight="false" outlineLevel="0" collapsed="false">
      <c r="A8" s="45" t="s">
        <v>860</v>
      </c>
      <c r="B8" s="45" t="s">
        <v>861</v>
      </c>
      <c r="C8" s="45" t="s">
        <v>862</v>
      </c>
    </row>
    <row r="9" customFormat="false" ht="23.85" hidden="false" customHeight="false" outlineLevel="0" collapsed="false">
      <c r="A9" s="45" t="s">
        <v>863</v>
      </c>
      <c r="B9" s="45" t="s">
        <v>864</v>
      </c>
      <c r="C9" s="45" t="s">
        <v>865</v>
      </c>
    </row>
    <row r="10" customFormat="false" ht="23.85" hidden="false" customHeight="false" outlineLevel="0" collapsed="false">
      <c r="A10" s="45" t="s">
        <v>866</v>
      </c>
      <c r="B10" s="45" t="s">
        <v>867</v>
      </c>
      <c r="C10" s="45" t="s">
        <v>868</v>
      </c>
    </row>
    <row r="11" customFormat="false" ht="23.85" hidden="false" customHeight="false" outlineLevel="0" collapsed="false">
      <c r="A11" s="45" t="s">
        <v>869</v>
      </c>
      <c r="B11" s="45" t="s">
        <v>36</v>
      </c>
      <c r="C11" s="45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2026-10-18T15:33:32Z</dcterms:created>
  <dc:creator>openpyxl</dc:creator>
  <dc:description/>
  <dc:language>en-US</dc:language>
  <cp:lastModifiedBy/>
  <dcterms:modified xsi:type="dcterms:W3CDTF">2026-10-18T15:33:32Z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